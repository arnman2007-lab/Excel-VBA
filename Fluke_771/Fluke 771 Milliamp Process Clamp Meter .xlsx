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60" windowWidth="9570" windowHeight="9840"/>
  </bookViews>
  <sheets>
    <sheet name="Datasheet" sheetId="1" r:id="rId1"/>
    <sheet name="Accredited" sheetId="8" r:id="rId2"/>
  </sheets>
  <definedNames>
    <definedName name="CUSTID">Datasheet!$E$4</definedName>
    <definedName name="CUSTSN">Datasheet!$H$4</definedName>
    <definedName name="DESCRIPTION">Datasheet!$B$3</definedName>
    <definedName name="Field_01">Datasheet!$F$10</definedName>
    <definedName name="Field_02">Datasheet!$G$10</definedName>
    <definedName name="Field_03">Datasheet!$H$10</definedName>
    <definedName name="Field_04">Datasheet!$I$10</definedName>
    <definedName name="Field_05">Datasheet!$J$10</definedName>
    <definedName name="Field_06">Datasheet!$K$10</definedName>
    <definedName name="MANUFACTURER">Datasheet!$B$2</definedName>
    <definedName name="MODEL">Datasheet!$E$2</definedName>
    <definedName name="_xlnm.Print_Area" localSheetId="1">Accredited!$B$1:$J$29</definedName>
    <definedName name="_xlnm.Print_Area" localSheetId="0">Datasheet!$B$1:$K$29</definedName>
    <definedName name="_xlnm.Print_Titles" localSheetId="1">Accredited!$1:$7</definedName>
    <definedName name="_xlnm.Print_Titles" localSheetId="0">Datasheet!$1:$7</definedName>
    <definedName name="PROCEDURE">Datasheet!$B$10</definedName>
    <definedName name="SN">Datasheet!$B$4</definedName>
    <definedName name="WONUM">Datasheet!$H$1</definedName>
  </definedNames>
  <calcPr calcId="145621"/>
</workbook>
</file>

<file path=xl/calcChain.xml><?xml version="1.0" encoding="utf-8"?>
<calcChain xmlns="http://schemas.openxmlformats.org/spreadsheetml/2006/main">
  <c r="Q28" i="8" l="1"/>
  <c r="Q27" i="8"/>
  <c r="Q21" i="8"/>
  <c r="Q22" i="8"/>
  <c r="Q23" i="8"/>
  <c r="T23" i="8" s="1"/>
  <c r="U23" i="8" s="1"/>
  <c r="V23" i="8" s="1"/>
  <c r="W23" i="8" s="1"/>
  <c r="Q24" i="8"/>
  <c r="Q25" i="8"/>
  <c r="Q20" i="8"/>
  <c r="T20" i="8"/>
  <c r="U20" i="8" s="1"/>
  <c r="V20" i="8" s="1"/>
  <c r="M30" i="1"/>
  <c r="R28" i="8"/>
  <c r="S28" i="8" s="1"/>
  <c r="P28" i="8"/>
  <c r="R27" i="8"/>
  <c r="S27" i="8" s="1"/>
  <c r="P27" i="8"/>
  <c r="P22" i="8"/>
  <c r="R22" i="8"/>
  <c r="S22" i="8" s="1"/>
  <c r="P23" i="8"/>
  <c r="R23" i="8"/>
  <c r="S23" i="8" s="1"/>
  <c r="P24" i="8"/>
  <c r="R24" i="8"/>
  <c r="S24" i="8" s="1"/>
  <c r="P25" i="8"/>
  <c r="R25" i="8"/>
  <c r="S25" i="8" s="1"/>
  <c r="T21" i="8"/>
  <c r="U21" i="8" s="1"/>
  <c r="V21" i="8" s="1"/>
  <c r="W21" i="8" s="1"/>
  <c r="R21" i="8"/>
  <c r="S21" i="8" s="1"/>
  <c r="S20" i="8"/>
  <c r="R20" i="8"/>
  <c r="P20" i="8"/>
  <c r="P21" i="8"/>
  <c r="T27" i="8" l="1"/>
  <c r="U27" i="8" s="1"/>
  <c r="V27" i="8" s="1"/>
  <c r="W27" i="8" s="1"/>
  <c r="T28" i="8"/>
  <c r="U28" i="8" s="1"/>
  <c r="V28" i="8" s="1"/>
  <c r="W28" i="8" s="1"/>
  <c r="W20" i="8"/>
  <c r="J20" i="8" s="1"/>
  <c r="I20" i="8"/>
  <c r="T24" i="8"/>
  <c r="U24" i="8" s="1"/>
  <c r="V24" i="8" s="1"/>
  <c r="W24" i="8" s="1"/>
  <c r="T25" i="8"/>
  <c r="U25" i="8" s="1"/>
  <c r="V25" i="8" s="1"/>
  <c r="W25" i="8" s="1"/>
  <c r="T22" i="8"/>
  <c r="U22" i="8" s="1"/>
  <c r="V22" i="8" s="1"/>
  <c r="W22" i="8" s="1"/>
  <c r="B17" i="8" l="1"/>
  <c r="B16" i="8"/>
  <c r="B15" i="8"/>
  <c r="B14" i="8"/>
  <c r="L28" i="8"/>
  <c r="J28" i="8"/>
  <c r="I28" i="8"/>
  <c r="G28" i="8"/>
  <c r="F28" i="8"/>
  <c r="E28" i="8"/>
  <c r="D28" i="8"/>
  <c r="H28" i="8" s="1"/>
  <c r="C28" i="8"/>
  <c r="B28" i="8"/>
  <c r="L27" i="8"/>
  <c r="J27" i="8"/>
  <c r="G27" i="8"/>
  <c r="F27" i="8"/>
  <c r="E27" i="8"/>
  <c r="D27" i="8"/>
  <c r="I27" i="8" s="1"/>
  <c r="C27" i="8"/>
  <c r="B27" i="8"/>
  <c r="H26" i="8"/>
  <c r="B26" i="8"/>
  <c r="L25" i="8"/>
  <c r="J25" i="8"/>
  <c r="G25" i="8"/>
  <c r="F25" i="8"/>
  <c r="E25" i="8"/>
  <c r="D25" i="8"/>
  <c r="I25" i="8" s="1"/>
  <c r="C25" i="8"/>
  <c r="B25" i="8"/>
  <c r="L24" i="8"/>
  <c r="J24" i="8"/>
  <c r="I24" i="8"/>
  <c r="G24" i="8"/>
  <c r="F24" i="8"/>
  <c r="E24" i="8"/>
  <c r="D24" i="8"/>
  <c r="H24" i="8" s="1"/>
  <c r="C24" i="8"/>
  <c r="B24" i="8"/>
  <c r="L23" i="8"/>
  <c r="J23" i="8"/>
  <c r="G23" i="8"/>
  <c r="F23" i="8"/>
  <c r="E23" i="8"/>
  <c r="D23" i="8"/>
  <c r="I23" i="8" s="1"/>
  <c r="C23" i="8"/>
  <c r="B23" i="8"/>
  <c r="L22" i="8"/>
  <c r="J22" i="8"/>
  <c r="I22" i="8"/>
  <c r="G22" i="8"/>
  <c r="F22" i="8"/>
  <c r="E22" i="8"/>
  <c r="D22" i="8"/>
  <c r="H22" i="8" s="1"/>
  <c r="C22" i="8"/>
  <c r="B22" i="8"/>
  <c r="L21" i="8"/>
  <c r="J21" i="8"/>
  <c r="G21" i="8"/>
  <c r="F21" i="8"/>
  <c r="E21" i="8"/>
  <c r="D21" i="8"/>
  <c r="I21" i="8" s="1"/>
  <c r="C21" i="8"/>
  <c r="B21" i="8"/>
  <c r="L20" i="8"/>
  <c r="G20" i="8"/>
  <c r="F20" i="8"/>
  <c r="E20" i="8"/>
  <c r="D20" i="8"/>
  <c r="H20" i="8" s="1"/>
  <c r="C20" i="8"/>
  <c r="B20" i="8"/>
  <c r="H19" i="8"/>
  <c r="B19" i="8"/>
  <c r="H18" i="8"/>
  <c r="B18" i="8"/>
  <c r="H17" i="8"/>
  <c r="G17" i="8"/>
  <c r="F17" i="8"/>
  <c r="H16" i="8"/>
  <c r="G16" i="8"/>
  <c r="F16" i="8"/>
  <c r="H15" i="8"/>
  <c r="G15" i="8"/>
  <c r="F15" i="8"/>
  <c r="H14" i="8"/>
  <c r="G14" i="8"/>
  <c r="F14" i="8"/>
  <c r="H13" i="8"/>
  <c r="B13" i="8"/>
  <c r="H12" i="8"/>
  <c r="B12" i="8"/>
  <c r="H11" i="8"/>
  <c r="B11" i="8"/>
  <c r="B10" i="8"/>
  <c r="G8" i="8"/>
  <c r="H4" i="8"/>
  <c r="E4" i="8"/>
  <c r="B4" i="8"/>
  <c r="B3" i="8"/>
  <c r="E2" i="8"/>
  <c r="B2" i="8"/>
  <c r="H1" i="8"/>
  <c r="H23" i="8" l="1"/>
  <c r="H21" i="8"/>
  <c r="H25" i="8"/>
  <c r="H27" i="8"/>
  <c r="G8" i="1"/>
  <c r="M17" i="1"/>
  <c r="E17" i="1"/>
  <c r="E17" i="8" s="1"/>
  <c r="M16" i="1"/>
  <c r="E16" i="1"/>
  <c r="E16" i="8" s="1"/>
  <c r="M15" i="1"/>
  <c r="E15" i="1"/>
  <c r="E15" i="8" s="1"/>
  <c r="M14" i="1"/>
  <c r="E14" i="1"/>
  <c r="E14" i="8" s="1"/>
  <c r="L21" i="1" l="1"/>
  <c r="L22" i="1"/>
  <c r="H22" i="1" s="1"/>
  <c r="L23" i="1"/>
  <c r="L24" i="1"/>
  <c r="J24" i="1" s="1"/>
  <c r="L25" i="1"/>
  <c r="H25" i="1" s="1"/>
  <c r="L20" i="1"/>
  <c r="I21" i="1"/>
  <c r="K21" i="1"/>
  <c r="H21" i="1"/>
  <c r="I22" i="1"/>
  <c r="K22" i="1"/>
  <c r="I23" i="1"/>
  <c r="K23" i="1"/>
  <c r="J23" i="1"/>
  <c r="I24" i="1"/>
  <c r="K24" i="1"/>
  <c r="I25" i="1"/>
  <c r="K25" i="1"/>
  <c r="L28" i="1"/>
  <c r="J25" i="1" l="1"/>
  <c r="J22" i="1"/>
  <c r="M22" i="1" s="1"/>
  <c r="J21" i="1"/>
  <c r="M21" i="1" s="1"/>
  <c r="E21" i="1"/>
  <c r="E25" i="1"/>
  <c r="M25" i="1"/>
  <c r="H23" i="1"/>
  <c r="H24" i="1"/>
  <c r="J28" i="1"/>
  <c r="I28" i="1"/>
  <c r="K28" i="1"/>
  <c r="L27" i="1"/>
  <c r="E22" i="1" l="1"/>
  <c r="E24" i="1"/>
  <c r="M24" i="1"/>
  <c r="M23" i="1"/>
  <c r="E23" i="1"/>
  <c r="F8" i="1" s="1"/>
  <c r="F8" i="8" s="1"/>
  <c r="H28" i="1"/>
  <c r="M28" i="1" s="1"/>
  <c r="K27" i="1"/>
  <c r="I27" i="1"/>
  <c r="H27" i="1"/>
  <c r="E28" i="1" l="1"/>
  <c r="J27" i="1"/>
  <c r="E27" i="1" s="1"/>
  <c r="M27" i="1" l="1"/>
  <c r="J20" i="1"/>
  <c r="K20" i="1"/>
  <c r="I20" i="1"/>
  <c r="H20" i="1" l="1"/>
  <c r="E20" i="1" s="1"/>
  <c r="M20" i="1" l="1"/>
  <c r="J8" i="1" l="1"/>
  <c r="H8" i="8" s="1"/>
  <c r="N30" i="1"/>
</calcChain>
</file>

<file path=xl/sharedStrings.xml><?xml version="1.0" encoding="utf-8"?>
<sst xmlns="http://schemas.openxmlformats.org/spreadsheetml/2006/main" count="118" uniqueCount="69">
  <si>
    <t>Out</t>
  </si>
  <si>
    <t>LOW</t>
  </si>
  <si>
    <t>HIGH</t>
  </si>
  <si>
    <t/>
  </si>
  <si>
    <t>*</t>
  </si>
  <si>
    <t>Acceptance Limits</t>
  </si>
  <si>
    <t>JM Test Systems, Inc.</t>
  </si>
  <si>
    <t>Calibration Data Sheet</t>
  </si>
  <si>
    <t>Nominal Value</t>
  </si>
  <si>
    <t>Measured Value</t>
  </si>
  <si>
    <t>AS FOUND</t>
  </si>
  <si>
    <t>AS LEFT</t>
  </si>
  <si>
    <t>TEST RESULT</t>
  </si>
  <si>
    <t>Blank Cell Check</t>
  </si>
  <si>
    <t>N/A</t>
  </si>
  <si>
    <t>Function / Range</t>
  </si>
  <si>
    <t xml:space="preserve"> Test Description</t>
  </si>
  <si>
    <t>± 0.2% of RDG + 5D</t>
  </si>
  <si>
    <t>mA</t>
  </si>
  <si>
    <t>99.9 mA</t>
  </si>
  <si>
    <t>± 1.0% of RDG + 5D</t>
  </si>
  <si>
    <t>20.99 mA</t>
  </si>
  <si>
    <t>*Zero between each reading and</t>
  </si>
  <si>
    <t>allow settling time before zeroing</t>
  </si>
  <si>
    <t>I/A/W MFR Procedure</t>
  </si>
  <si>
    <t>Milliamp Process Clamp Meter</t>
  </si>
  <si>
    <t>DC Current Tests</t>
  </si>
  <si>
    <t>Backlight Test</t>
  </si>
  <si>
    <t>Pass</t>
  </si>
  <si>
    <t>Fail</t>
  </si>
  <si>
    <t>Display Test</t>
  </si>
  <si>
    <t>Keypad Test</t>
  </si>
  <si>
    <t>Spotlight Test</t>
  </si>
  <si>
    <t>Color coded formatting for t.u.r.</t>
  </si>
  <si>
    <t>This formula automatically rounds to two significant figures, regardless of how many decimal places</t>
  </si>
  <si>
    <t>Function/Range</t>
  </si>
  <si>
    <t>Acceptance</t>
  </si>
  <si>
    <t>Uncertainty</t>
  </si>
  <si>
    <t>T.U.R.</t>
  </si>
  <si>
    <t>Test Description</t>
  </si>
  <si>
    <t>!</t>
  </si>
  <si>
    <t>As-Found</t>
  </si>
  <si>
    <t>As-Left</t>
  </si>
  <si>
    <t>Limits</t>
  </si>
  <si>
    <t>( if &lt; 4:1 )</t>
  </si>
  <si>
    <t>no. of digits</t>
  </si>
  <si>
    <t>tol±</t>
  </si>
  <si>
    <t>Std. range</t>
  </si>
  <si>
    <t>Rng. floor</t>
  </si>
  <si>
    <t>limits±</t>
  </si>
  <si>
    <t>resol.</t>
  </si>
  <si>
    <t>resol/sqrt(12)</t>
  </si>
  <si>
    <t>r.s.s.</t>
  </si>
  <si>
    <t>rounded</t>
  </si>
  <si>
    <t>t.u.r.</t>
  </si>
  <si>
    <t>TEST RESULT:</t>
  </si>
  <si>
    <t xml:space="preserve"> </t>
  </si>
  <si>
    <t>End of Report</t>
  </si>
  <si>
    <t>=FIXED(U15,2-(1+INT(LOG10(ABS(U15)))),TRUE)</t>
  </si>
  <si>
    <t>(K=2)</t>
  </si>
  <si>
    <t>k=2</t>
  </si>
  <si>
    <t>(3.3 to 33) mA</t>
  </si>
  <si>
    <t>0.018% + 0.25 µA</t>
  </si>
  <si>
    <t>33 mA</t>
  </si>
  <si>
    <t>% rdg.</t>
  </si>
  <si>
    <t>(33 to 330) mA</t>
  </si>
  <si>
    <t>0.018% + 2.5 µA</t>
  </si>
  <si>
    <t>330 mA</t>
  </si>
  <si>
    <t>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</si>
</sst>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"/>
    <numFmt numFmtId="166" formatCode="0.0000"/>
    <numFmt numFmtId="167" formatCode="0.00###"/>
    <numFmt numFmtId="168" formatCode="0.0000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FF0000"/>
      <name val="Calibri"/>
      <family val="2"/>
    </font>
    <font>
      <i/>
      <sz val="10"/>
      <color theme="1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36">
    <xf numFmtId="0" fontId="0" fillId="0" borderId="0" xfId="0"/>
    <xf numFmtId="0" fontId="5" fillId="0" borderId="0" xfId="0" applyNumberFormat="1" applyFont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1" fontId="4" fillId="0" borderId="14" xfId="0" applyNumberFormat="1" applyFont="1" applyBorder="1" applyAlignment="1" applyProtection="1">
      <alignment horizontal="center" vertical="center"/>
    </xf>
    <xf numFmtId="0" fontId="11" fillId="0" borderId="0" xfId="1" applyFont="1" applyFill="1" applyBorder="1" applyAlignment="1" applyProtection="1">
      <alignment horizontal="center" vertical="center"/>
    </xf>
    <xf numFmtId="0" fontId="11" fillId="2" borderId="0" xfId="1" applyFont="1" applyFill="1" applyBorder="1" applyAlignment="1" applyProtection="1">
      <alignment horizontal="center" vertical="center"/>
    </xf>
    <xf numFmtId="2" fontId="4" fillId="4" borderId="1" xfId="1" applyNumberFormat="1" applyFont="1" applyFill="1" applyBorder="1" applyAlignment="1" applyProtection="1">
      <alignment horizontal="center" vertical="center"/>
      <protection locked="0"/>
    </xf>
    <xf numFmtId="0" fontId="6" fillId="3" borderId="1" xfId="1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vertical="center"/>
    </xf>
    <xf numFmtId="0" fontId="4" fillId="3" borderId="1" xfId="1" applyFont="1" applyFill="1" applyBorder="1" applyAlignment="1" applyProtection="1">
      <alignment horizontal="center" vertical="center"/>
    </xf>
    <xf numFmtId="0" fontId="4" fillId="3" borderId="12" xfId="1" applyFont="1" applyFill="1" applyBorder="1" applyAlignment="1" applyProtection="1">
      <alignment vertical="center"/>
    </xf>
    <xf numFmtId="0" fontId="4" fillId="3" borderId="1" xfId="1" applyFont="1" applyFill="1" applyBorder="1" applyAlignment="1" applyProtection="1">
      <alignment vertical="center"/>
    </xf>
    <xf numFmtId="0" fontId="4" fillId="3" borderId="3" xfId="1" applyFont="1" applyFill="1" applyBorder="1" applyAlignment="1" applyProtection="1">
      <alignment vertical="center"/>
    </xf>
    <xf numFmtId="0" fontId="4" fillId="3" borderId="2" xfId="1" quotePrefix="1" applyFont="1" applyFill="1" applyBorder="1" applyAlignment="1" applyProtection="1">
      <alignment horizontal="left" vertical="center"/>
    </xf>
    <xf numFmtId="0" fontId="4" fillId="3" borderId="4" xfId="1" applyNumberFormat="1" applyFont="1" applyFill="1" applyBorder="1" applyAlignment="1" applyProtection="1">
      <alignment horizontal="right" vertical="center"/>
    </xf>
    <xf numFmtId="0" fontId="5" fillId="3" borderId="1" xfId="1" applyFont="1" applyFill="1" applyBorder="1" applyAlignment="1" applyProtection="1">
      <alignment horizontal="center" vertical="center"/>
    </xf>
    <xf numFmtId="164" fontId="4" fillId="3" borderId="2" xfId="1" applyNumberFormat="1" applyFont="1" applyFill="1" applyBorder="1" applyAlignment="1" applyProtection="1">
      <alignment horizontal="right" vertical="center"/>
    </xf>
    <xf numFmtId="2" fontId="4" fillId="3" borderId="2" xfId="1" applyNumberFormat="1" applyFont="1" applyFill="1" applyBorder="1" applyAlignment="1" applyProtection="1">
      <alignment horizontal="right" vertical="center"/>
    </xf>
    <xf numFmtId="165" fontId="4" fillId="3" borderId="12" xfId="1" applyNumberFormat="1" applyFont="1" applyFill="1" applyBorder="1" applyAlignment="1" applyProtection="1">
      <alignment horizontal="center" vertical="center"/>
    </xf>
    <xf numFmtId="0" fontId="4" fillId="3" borderId="12" xfId="1" quotePrefix="1" applyFont="1" applyFill="1" applyBorder="1" applyAlignment="1" applyProtection="1">
      <alignment horizontal="left" vertical="center"/>
    </xf>
    <xf numFmtId="164" fontId="4" fillId="3" borderId="4" xfId="1" applyNumberFormat="1" applyFont="1" applyFill="1" applyBorder="1" applyAlignment="1" applyProtection="1">
      <alignment horizontal="right" vertical="center"/>
    </xf>
    <xf numFmtId="0" fontId="11" fillId="3" borderId="1" xfId="1" applyFont="1" applyFill="1" applyBorder="1" applyAlignment="1" applyProtection="1">
      <alignment horizontal="center" vertical="center"/>
    </xf>
    <xf numFmtId="164" fontId="4" fillId="3" borderId="3" xfId="1" applyNumberFormat="1" applyFont="1" applyFill="1" applyBorder="1" applyAlignment="1" applyProtection="1">
      <alignment horizontal="left" vertical="center"/>
    </xf>
    <xf numFmtId="2" fontId="4" fillId="3" borderId="3" xfId="1" applyNumberFormat="1" applyFont="1" applyFill="1" applyBorder="1" applyAlignment="1" applyProtection="1">
      <alignment horizontal="left" vertical="center"/>
    </xf>
    <xf numFmtId="164" fontId="12" fillId="4" borderId="12" xfId="1" applyNumberFormat="1" applyFont="1" applyFill="1" applyBorder="1" applyAlignment="1" applyProtection="1">
      <alignment horizontal="center" vertical="center"/>
      <protection locked="0"/>
    </xf>
    <xf numFmtId="166" fontId="12" fillId="4" borderId="12" xfId="1" applyNumberFormat="1" applyFont="1" applyFill="1" applyBorder="1" applyAlignment="1" applyProtection="1">
      <alignment horizontal="center" vertical="center"/>
      <protection locked="0"/>
    </xf>
    <xf numFmtId="167" fontId="12" fillId="4" borderId="12" xfId="1" applyNumberFormat="1" applyFont="1" applyFill="1" applyBorder="1" applyAlignment="1" applyProtection="1">
      <alignment horizontal="center" vertical="center"/>
      <protection locked="0"/>
    </xf>
    <xf numFmtId="0" fontId="11" fillId="0" borderId="18" xfId="1" applyFont="1" applyFill="1" applyBorder="1" applyAlignment="1" applyProtection="1">
      <alignment horizontal="center" vertical="center"/>
    </xf>
    <xf numFmtId="0" fontId="11" fillId="2" borderId="1" xfId="1" applyFont="1" applyFill="1" applyBorder="1" applyAlignment="1" applyProtection="1">
      <alignment horizontal="center" vertical="center"/>
    </xf>
    <xf numFmtId="164" fontId="4" fillId="3" borderId="12" xfId="1" applyNumberFormat="1" applyFont="1" applyFill="1" applyBorder="1" applyAlignment="1" applyProtection="1">
      <alignment horizontal="right" vertical="center"/>
    </xf>
    <xf numFmtId="0" fontId="4" fillId="3" borderId="12" xfId="1" applyFont="1" applyFill="1" applyBorder="1" applyAlignment="1" applyProtection="1">
      <alignment horizontal="left" vertical="center"/>
    </xf>
    <xf numFmtId="0" fontId="4" fillId="3" borderId="4" xfId="1" applyFont="1" applyFill="1" applyBorder="1" applyAlignment="1" applyProtection="1">
      <alignment horizontal="left" vertical="center"/>
    </xf>
    <xf numFmtId="0" fontId="4" fillId="3" borderId="13" xfId="1" applyFont="1" applyFill="1" applyBorder="1" applyAlignment="1" applyProtection="1">
      <alignment horizontal="left" vertical="center"/>
    </xf>
    <xf numFmtId="164" fontId="4" fillId="3" borderId="12" xfId="1" applyNumberFormat="1" applyFont="1" applyFill="1" applyBorder="1" applyAlignment="1" applyProtection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6" fillId="3" borderId="8" xfId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6" fillId="3" borderId="9" xfId="1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horizontal="left" vertical="center"/>
    </xf>
    <xf numFmtId="0" fontId="4" fillId="3" borderId="3" xfId="1" applyFont="1" applyFill="1" applyBorder="1" applyAlignment="1" applyProtection="1">
      <alignment horizontal="left" vertical="center"/>
    </xf>
    <xf numFmtId="0" fontId="4" fillId="3" borderId="12" xfId="1" applyFont="1" applyFill="1" applyBorder="1" applyAlignment="1" applyProtection="1">
      <alignment horizontal="center" vertical="center"/>
    </xf>
    <xf numFmtId="0" fontId="4" fillId="3" borderId="4" xfId="1" applyFont="1" applyFill="1" applyBorder="1" applyAlignment="1" applyProtection="1">
      <alignment horizontal="center" vertical="center"/>
    </xf>
    <xf numFmtId="0" fontId="4" fillId="3" borderId="13" xfId="1" applyFont="1" applyFill="1" applyBorder="1" applyAlignment="1" applyProtection="1">
      <alignment horizontal="center" vertical="center"/>
    </xf>
    <xf numFmtId="164" fontId="4" fillId="3" borderId="12" xfId="1" applyNumberFormat="1" applyFont="1" applyFill="1" applyBorder="1" applyAlignment="1" applyProtection="1">
      <alignment horizontal="center" vertical="center"/>
    </xf>
    <xf numFmtId="164" fontId="4" fillId="3" borderId="4" xfId="1" applyNumberFormat="1" applyFont="1" applyFill="1" applyBorder="1" applyAlignment="1" applyProtection="1">
      <alignment horizontal="center" vertical="center"/>
    </xf>
    <xf numFmtId="164" fontId="4" fillId="3" borderId="13" xfId="1" applyNumberFormat="1" applyFont="1" applyFill="1" applyBorder="1" applyAlignment="1" applyProtection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6" fillId="3" borderId="10" xfId="1" applyFont="1" applyFill="1" applyBorder="1" applyAlignment="1" applyProtection="1">
      <alignment horizontal="center" vertical="center"/>
    </xf>
    <xf numFmtId="0" fontId="6" fillId="3" borderId="8" xfId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6" fillId="3" borderId="9" xfId="1" applyFont="1" applyFill="1" applyBorder="1" applyAlignment="1" applyProtection="1">
      <alignment horizontal="center" vertical="center"/>
    </xf>
    <xf numFmtId="0" fontId="4" fillId="3" borderId="7" xfId="1" applyFont="1" applyFill="1" applyBorder="1" applyAlignment="1" applyProtection="1">
      <alignment horizontal="center" vertical="center"/>
    </xf>
    <xf numFmtId="0" fontId="4" fillId="3" borderId="5" xfId="1" applyFont="1" applyFill="1" applyBorder="1" applyAlignment="1" applyProtection="1">
      <alignment horizontal="center" vertical="center"/>
    </xf>
    <xf numFmtId="0" fontId="4" fillId="3" borderId="6" xfId="1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horizontal="center" vertical="center"/>
    </xf>
    <xf numFmtId="0" fontId="4" fillId="3" borderId="3" xfId="1" applyFont="1" applyFill="1" applyBorder="1" applyAlignment="1" applyProtection="1">
      <alignment horizontal="center" vertical="center"/>
    </xf>
    <xf numFmtId="0" fontId="9" fillId="3" borderId="12" xfId="0" applyFont="1" applyFill="1" applyBorder="1" applyAlignment="1" applyProtection="1">
      <alignment horizontal="center" vertical="center"/>
    </xf>
    <xf numFmtId="0" fontId="9" fillId="3" borderId="13" xfId="0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horizontal="left" vertical="center"/>
    </xf>
    <xf numFmtId="0" fontId="4" fillId="3" borderId="4" xfId="1" applyFont="1" applyFill="1" applyBorder="1" applyAlignment="1" applyProtection="1">
      <alignment horizontal="left" vertical="center"/>
    </xf>
    <xf numFmtId="0" fontId="4" fillId="3" borderId="3" xfId="1" applyFont="1" applyFill="1" applyBorder="1" applyAlignment="1" applyProtection="1">
      <alignment horizontal="left" vertical="center"/>
    </xf>
    <xf numFmtId="0" fontId="12" fillId="3" borderId="12" xfId="1" applyFont="1" applyFill="1" applyBorder="1" applyAlignment="1" applyProtection="1">
      <alignment horizontal="center" vertical="center"/>
    </xf>
    <xf numFmtId="0" fontId="12" fillId="3" borderId="13" xfId="1" applyFont="1" applyFill="1" applyBorder="1" applyAlignment="1" applyProtection="1">
      <alignment horizontal="center" vertical="center"/>
    </xf>
    <xf numFmtId="0" fontId="4" fillId="3" borderId="12" xfId="1" applyFont="1" applyFill="1" applyBorder="1" applyAlignment="1" applyProtection="1">
      <alignment horizontal="left" vertical="center"/>
    </xf>
    <xf numFmtId="0" fontId="4" fillId="3" borderId="13" xfId="1" applyFont="1" applyFill="1" applyBorder="1" applyAlignment="1" applyProtection="1">
      <alignment horizontal="left" vertical="center"/>
    </xf>
    <xf numFmtId="0" fontId="12" fillId="0" borderId="0" xfId="2" applyFont="1" applyAlignment="1">
      <alignment vertical="center"/>
    </xf>
    <xf numFmtId="0" fontId="8" fillId="2" borderId="0" xfId="0" applyFont="1" applyFill="1" applyAlignment="1" applyProtection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right" vertical="center"/>
    </xf>
    <xf numFmtId="0" fontId="12" fillId="0" borderId="0" xfId="2" applyFont="1" applyAlignment="1" applyProtection="1">
      <alignment vertical="center"/>
    </xf>
    <xf numFmtId="2" fontId="1" fillId="0" borderId="0" xfId="0" applyNumberFormat="1" applyFont="1" applyBorder="1" applyAlignment="1" applyProtection="1">
      <alignment horizontal="center" vertical="center"/>
    </xf>
    <xf numFmtId="0" fontId="5" fillId="2" borderId="0" xfId="0" applyFont="1" applyFill="1" applyAlignment="1" applyProtection="1">
      <alignment horizontal="left" vertical="center"/>
    </xf>
    <xf numFmtId="0" fontId="12" fillId="0" borderId="0" xfId="2" applyFont="1" applyAlignment="1" applyProtection="1">
      <alignment horizontal="center" vertical="center"/>
    </xf>
    <xf numFmtId="0" fontId="5" fillId="2" borderId="19" xfId="0" applyFont="1" applyFill="1" applyBorder="1" applyAlignment="1" applyProtection="1">
      <alignment horizontal="left" vertical="center"/>
    </xf>
    <xf numFmtId="0" fontId="5" fillId="2" borderId="19" xfId="0" applyFont="1" applyFill="1" applyBorder="1" applyAlignment="1" applyProtection="1">
      <alignment horizontal="right" vertical="center"/>
    </xf>
    <xf numFmtId="0" fontId="13" fillId="0" borderId="20" xfId="2" applyFont="1" applyBorder="1" applyAlignment="1" applyProtection="1">
      <alignment horizontal="center" vertical="center"/>
    </xf>
    <xf numFmtId="0" fontId="13" fillId="0" borderId="20" xfId="2" applyFont="1" applyBorder="1" applyAlignment="1" applyProtection="1">
      <alignment horizontal="center" vertical="center"/>
    </xf>
    <xf numFmtId="0" fontId="13" fillId="0" borderId="19" xfId="2" applyFont="1" applyBorder="1" applyAlignment="1" applyProtection="1">
      <alignment horizontal="left" vertical="center"/>
    </xf>
    <xf numFmtId="0" fontId="13" fillId="0" borderId="19" xfId="2" applyFont="1" applyBorder="1" applyAlignment="1" applyProtection="1">
      <alignment horizontal="right" vertical="center"/>
    </xf>
    <xf numFmtId="0" fontId="14" fillId="0" borderId="19" xfId="2" applyFont="1" applyBorder="1" applyAlignment="1" applyProtection="1">
      <alignment horizontal="center" vertical="center"/>
    </xf>
    <xf numFmtId="0" fontId="13" fillId="0" borderId="19" xfId="2" applyFont="1" applyBorder="1" applyAlignment="1" applyProtection="1">
      <alignment horizontal="center" vertical="center"/>
    </xf>
    <xf numFmtId="0" fontId="9" fillId="0" borderId="0" xfId="2" applyFont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3" fillId="0" borderId="0" xfId="2" applyFont="1" applyBorder="1" applyAlignment="1" applyProtection="1">
      <alignment horizontal="left" vertical="center"/>
    </xf>
    <xf numFmtId="0" fontId="13" fillId="0" borderId="0" xfId="2" applyFont="1" applyBorder="1" applyAlignment="1" applyProtection="1">
      <alignment horizontal="right" vertical="center"/>
    </xf>
    <xf numFmtId="0" fontId="14" fillId="0" borderId="0" xfId="2" applyFont="1" applyBorder="1" applyAlignment="1" applyProtection="1">
      <alignment horizontal="center" vertical="center"/>
    </xf>
    <xf numFmtId="0" fontId="13" fillId="0" borderId="0" xfId="2" applyFont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68" fontId="1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center" vertical="center"/>
    </xf>
    <xf numFmtId="0" fontId="4" fillId="3" borderId="12" xfId="1" quotePrefix="1" applyFont="1" applyFill="1" applyBorder="1" applyAlignment="1" applyProtection="1">
      <alignment horizontal="left" vertical="center"/>
    </xf>
    <xf numFmtId="0" fontId="4" fillId="3" borderId="4" xfId="1" quotePrefix="1" applyFont="1" applyFill="1" applyBorder="1" applyAlignment="1" applyProtection="1">
      <alignment horizontal="left" vertical="center"/>
    </xf>
    <xf numFmtId="0" fontId="4" fillId="3" borderId="13" xfId="1" quotePrefix="1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quotePrefix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4" fillId="0" borderId="0" xfId="0" applyFont="1" applyAlignment="1" applyProtection="1">
      <alignment vertical="center"/>
    </xf>
    <xf numFmtId="0" fontId="8" fillId="3" borderId="0" xfId="0" applyFont="1" applyFill="1" applyAlignment="1" applyProtection="1">
      <alignment horizontal="left" vertical="center"/>
    </xf>
    <xf numFmtId="0" fontId="5" fillId="3" borderId="0" xfId="0" applyFont="1" applyFill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 vertical="center"/>
    </xf>
    <xf numFmtId="0" fontId="5" fillId="3" borderId="0" xfId="0" applyFont="1" applyFill="1" applyAlignment="1" applyProtection="1">
      <alignment horizontal="right" vertical="center"/>
    </xf>
    <xf numFmtId="0" fontId="10" fillId="0" borderId="0" xfId="0" applyFont="1" applyAlignment="1" applyProtection="1">
      <alignment horizontal="center" vertical="center"/>
    </xf>
    <xf numFmtId="0" fontId="5" fillId="3" borderId="0" xfId="0" applyFont="1" applyFill="1" applyAlignment="1" applyProtection="1">
      <alignment horizontal="left" vertical="center"/>
    </xf>
    <xf numFmtId="0" fontId="7" fillId="0" borderId="0" xfId="0" applyFont="1" applyFill="1" applyAlignment="1">
      <alignment vertical="center"/>
    </xf>
    <xf numFmtId="0" fontId="5" fillId="3" borderId="0" xfId="0" applyFont="1" applyFill="1" applyBorder="1" applyAlignment="1" applyProtection="1">
      <alignment horizontal="left" vertical="center"/>
    </xf>
    <xf numFmtId="0" fontId="5" fillId="3" borderId="0" xfId="0" applyFont="1" applyFill="1" applyBorder="1" applyAlignment="1" applyProtection="1">
      <alignment horizontal="right" vertical="center"/>
    </xf>
    <xf numFmtId="0" fontId="4" fillId="0" borderId="0" xfId="0" applyFont="1" applyFill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4" fillId="0" borderId="0" xfId="0" applyNumberFormat="1" applyFont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Normal" xfId="0" builtinId="0"/>
    <cellStyle name="Normal 2" xfId="2"/>
    <cellStyle name="Normal 3" xfId="3"/>
    <cellStyle name="Normal_Sheet1_1" xfId="1"/>
  </cellStyles>
  <dxfs count="6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numFmt numFmtId="166" formatCode="0.0000"/>
    </dxf>
    <dxf>
      <numFmt numFmtId="2" formatCode="0.00"/>
    </dxf>
    <dxf>
      <numFmt numFmtId="166" formatCode="0.0000"/>
    </dxf>
    <dxf>
      <numFmt numFmtId="2" formatCode="0.00"/>
    </dxf>
    <dxf>
      <numFmt numFmtId="166" formatCode="0.0000"/>
    </dxf>
    <dxf>
      <numFmt numFmtId="2" formatCode="0.00"/>
    </dxf>
    <dxf>
      <numFmt numFmtId="166" formatCode="0.0000"/>
    </dxf>
    <dxf>
      <numFmt numFmtId="2" formatCode="0.00"/>
    </dxf>
    <dxf>
      <numFmt numFmtId="166" formatCode="0.0000"/>
    </dxf>
    <dxf>
      <numFmt numFmtId="2" formatCode="0.00"/>
    </dxf>
    <dxf>
      <numFmt numFmtId="166" formatCode="0.0000"/>
    </dxf>
    <dxf>
      <numFmt numFmtId="2" formatCode="0.00"/>
    </dxf>
    <dxf>
      <numFmt numFmtId="166" formatCode="0.0000"/>
    </dxf>
    <dxf>
      <numFmt numFmtId="2" formatCode="0.00"/>
    </dxf>
  </dxfs>
  <tableStyles count="0" defaultTableStyle="TableStyleMedium2" defaultPivotStyle="PivotStyleLight16"/>
  <colors>
    <mruColors>
      <color rgb="FFFFFF99"/>
      <color rgb="FF0000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44"/>
  <sheetViews>
    <sheetView tabSelected="1" zoomScaleNormal="100" workbookViewId="0">
      <selection activeCell="F14" sqref="F14"/>
    </sheetView>
  </sheetViews>
  <sheetFormatPr defaultRowHeight="15" x14ac:dyDescent="0.25"/>
  <cols>
    <col min="1" max="1" width="9.140625" style="101" customWidth="1"/>
    <col min="2" max="2" width="17.85546875" style="101" customWidth="1"/>
    <col min="3" max="3" width="8.140625" style="101" customWidth="1"/>
    <col min="4" max="4" width="5" style="101" customWidth="1"/>
    <col min="5" max="5" width="4" style="101" customWidth="1"/>
    <col min="6" max="7" width="9.140625" style="101" customWidth="1"/>
    <col min="8" max="8" width="10.7109375" style="101" customWidth="1"/>
    <col min="9" max="9" width="9.85546875" style="101" customWidth="1"/>
    <col min="10" max="10" width="10.7109375" style="101" customWidth="1"/>
    <col min="11" max="11" width="9.85546875" style="101" customWidth="1"/>
    <col min="12" max="12" width="13.28515625" style="101" customWidth="1"/>
    <col min="13" max="13" width="11.28515625" style="113" customWidth="1"/>
    <col min="14" max="14" width="6.7109375" style="101" customWidth="1"/>
    <col min="15" max="15" width="8.7109375" style="101" customWidth="1"/>
    <col min="16" max="16" width="30.85546875" style="101" customWidth="1"/>
    <col min="17" max="17" width="6.7109375" style="101" customWidth="1"/>
    <col min="18" max="18" width="7.42578125" style="101" customWidth="1"/>
    <col min="19" max="19" width="6.7109375" style="101" customWidth="1"/>
    <col min="20" max="21" width="7.42578125" style="101" customWidth="1"/>
    <col min="22" max="16384" width="9.140625" style="101"/>
  </cols>
  <sheetData>
    <row r="1" spans="1:21" x14ac:dyDescent="0.25">
      <c r="A1" s="115"/>
      <c r="B1" s="116" t="s">
        <v>6</v>
      </c>
      <c r="C1" s="116"/>
      <c r="D1" s="117"/>
      <c r="E1" s="118" t="s">
        <v>7</v>
      </c>
      <c r="F1" s="118"/>
      <c r="G1" s="118"/>
      <c r="H1" s="119"/>
      <c r="I1" s="119"/>
      <c r="J1" s="119"/>
      <c r="K1" s="119"/>
      <c r="L1" s="120"/>
      <c r="M1" s="120"/>
      <c r="N1" s="120"/>
      <c r="O1" s="115"/>
      <c r="P1" s="115"/>
      <c r="Q1" s="115"/>
    </row>
    <row r="2" spans="1:21" x14ac:dyDescent="0.25">
      <c r="A2" s="115"/>
      <c r="B2" s="121"/>
      <c r="C2" s="121"/>
      <c r="D2" s="121"/>
      <c r="E2" s="121"/>
      <c r="F2" s="121"/>
      <c r="G2" s="121"/>
      <c r="H2" s="121"/>
      <c r="I2" s="121"/>
      <c r="J2" s="121"/>
      <c r="K2" s="121"/>
      <c r="M2" s="122"/>
      <c r="N2" s="122"/>
      <c r="O2" s="122"/>
      <c r="P2" s="122"/>
      <c r="Q2" s="122"/>
      <c r="R2" s="122"/>
      <c r="S2" s="122"/>
      <c r="T2" s="122"/>
    </row>
    <row r="3" spans="1:21" x14ac:dyDescent="0.25">
      <c r="A3" s="115"/>
      <c r="B3" s="121"/>
      <c r="C3" s="121"/>
      <c r="D3" s="121"/>
      <c r="E3" s="121"/>
      <c r="F3" s="121"/>
      <c r="G3" s="121"/>
      <c r="H3" s="121"/>
      <c r="I3" s="121"/>
      <c r="J3" s="121"/>
      <c r="K3" s="121"/>
      <c r="M3" s="122"/>
      <c r="N3" s="122"/>
      <c r="O3" s="122"/>
      <c r="P3" s="122"/>
      <c r="Q3" s="122"/>
      <c r="R3" s="122"/>
      <c r="S3" s="122"/>
      <c r="T3" s="122"/>
    </row>
    <row r="4" spans="1:21" x14ac:dyDescent="0.25">
      <c r="A4" s="115"/>
      <c r="B4" s="123"/>
      <c r="C4" s="123"/>
      <c r="D4" s="123"/>
      <c r="E4" s="123"/>
      <c r="F4" s="123"/>
      <c r="G4" s="123"/>
      <c r="H4" s="124"/>
      <c r="I4" s="124"/>
      <c r="J4" s="124"/>
      <c r="K4" s="124"/>
      <c r="M4" s="122"/>
      <c r="N4" s="122"/>
      <c r="O4" s="122"/>
      <c r="P4" s="122"/>
      <c r="Q4" s="122"/>
      <c r="R4" s="122"/>
      <c r="S4" s="122"/>
      <c r="T4" s="122"/>
    </row>
    <row r="5" spans="1:21" x14ac:dyDescent="0.25">
      <c r="A5" s="115"/>
      <c r="B5" s="49" t="s">
        <v>15</v>
      </c>
      <c r="C5" s="50"/>
      <c r="D5" s="51"/>
      <c r="E5" s="7" t="s">
        <v>0</v>
      </c>
      <c r="F5" s="54" t="s">
        <v>9</v>
      </c>
      <c r="G5" s="55"/>
      <c r="H5" s="49" t="s">
        <v>5</v>
      </c>
      <c r="I5" s="50"/>
      <c r="J5" s="50"/>
      <c r="K5" s="51"/>
      <c r="M5" s="122"/>
      <c r="N5" s="122"/>
      <c r="O5" s="122"/>
      <c r="P5" s="122"/>
      <c r="Q5" s="122"/>
      <c r="R5" s="122"/>
      <c r="S5" s="122"/>
      <c r="T5" s="122"/>
    </row>
    <row r="6" spans="1:21" s="122" customFormat="1" ht="15.75" thickBot="1" x14ac:dyDescent="0.3">
      <c r="A6" s="125"/>
      <c r="B6" s="39" t="s">
        <v>16</v>
      </c>
      <c r="C6" s="56" t="s">
        <v>8</v>
      </c>
      <c r="D6" s="56"/>
      <c r="E6" s="36" t="s">
        <v>4</v>
      </c>
      <c r="F6" s="39" t="s">
        <v>10</v>
      </c>
      <c r="G6" s="39" t="s">
        <v>11</v>
      </c>
      <c r="H6" s="52" t="s">
        <v>1</v>
      </c>
      <c r="I6" s="53"/>
      <c r="J6" s="52" t="s">
        <v>2</v>
      </c>
      <c r="K6" s="53"/>
      <c r="U6" s="101"/>
    </row>
    <row r="7" spans="1:21" s="122" customFormat="1" x14ac:dyDescent="0.25">
      <c r="B7" s="57"/>
      <c r="C7" s="58"/>
      <c r="D7" s="59"/>
      <c r="E7" s="8"/>
      <c r="F7" s="8"/>
      <c r="G7" s="9"/>
      <c r="H7" s="10"/>
      <c r="I7" s="35"/>
      <c r="J7" s="34"/>
      <c r="K7" s="35"/>
      <c r="U7" s="101"/>
    </row>
    <row r="8" spans="1:21" s="122" customFormat="1" x14ac:dyDescent="0.25">
      <c r="B8" s="60" t="s">
        <v>12</v>
      </c>
      <c r="C8" s="44"/>
      <c r="D8" s="61"/>
      <c r="E8" s="8"/>
      <c r="F8" s="40" t="str">
        <f>IF(COUNTIF(E14:E28,"~*")&gt;0, "Fail", "Pass")</f>
        <v>Pass</v>
      </c>
      <c r="G8" s="40" t="str">
        <f>IF(COUNTIF(M14:M28,"~*")&gt;0, "Fail", "Pass")</f>
        <v>Pass</v>
      </c>
      <c r="H8" s="10"/>
      <c r="I8" s="35"/>
      <c r="J8" s="62" t="str">
        <f>IF(M30&gt;0,"Status: Incomplete","")</f>
        <v>Status: Incomplete</v>
      </c>
      <c r="K8" s="63"/>
      <c r="U8" s="101"/>
    </row>
    <row r="9" spans="1:21" x14ac:dyDescent="0.25">
      <c r="B9" s="60" t="s">
        <v>3</v>
      </c>
      <c r="C9" s="44"/>
      <c r="D9" s="61"/>
      <c r="E9" s="8" t="s">
        <v>3</v>
      </c>
      <c r="F9" s="8"/>
      <c r="G9" s="9" t="s">
        <v>3</v>
      </c>
      <c r="H9" s="10" t="s">
        <v>3</v>
      </c>
      <c r="I9" s="35"/>
      <c r="J9" s="34" t="s">
        <v>3</v>
      </c>
      <c r="K9" s="35"/>
      <c r="M9" s="122"/>
      <c r="N9" s="122"/>
      <c r="O9" s="122"/>
      <c r="P9" s="122"/>
      <c r="Q9" s="122"/>
      <c r="R9" s="122"/>
      <c r="S9" s="122"/>
      <c r="T9" s="122"/>
    </row>
    <row r="10" spans="1:21" ht="15" customHeight="1" x14ac:dyDescent="0.25">
      <c r="B10" s="64" t="s">
        <v>24</v>
      </c>
      <c r="C10" s="65"/>
      <c r="D10" s="66"/>
      <c r="E10" s="8" t="s">
        <v>3</v>
      </c>
      <c r="F10" s="8"/>
      <c r="G10" s="9" t="s">
        <v>3</v>
      </c>
      <c r="H10" s="10"/>
      <c r="I10" s="35" t="s">
        <v>3</v>
      </c>
      <c r="J10" s="34" t="s">
        <v>3</v>
      </c>
      <c r="K10" s="35"/>
      <c r="M10" s="122"/>
      <c r="N10" s="122"/>
      <c r="O10" s="122"/>
      <c r="P10" s="122"/>
      <c r="Q10" s="122"/>
      <c r="R10" s="122"/>
      <c r="S10" s="122"/>
      <c r="T10" s="122"/>
    </row>
    <row r="11" spans="1:21" ht="15" customHeight="1" x14ac:dyDescent="0.25">
      <c r="A11" s="126"/>
      <c r="B11" s="41"/>
      <c r="C11" s="31"/>
      <c r="D11" s="42"/>
      <c r="E11" s="9" t="s">
        <v>3</v>
      </c>
      <c r="F11" s="11"/>
      <c r="G11" s="11" t="s">
        <v>3</v>
      </c>
      <c r="H11" s="8" t="s">
        <v>3</v>
      </c>
      <c r="I11" s="12" t="s">
        <v>3</v>
      </c>
      <c r="J11" s="8" t="s">
        <v>3</v>
      </c>
      <c r="K11" s="12"/>
      <c r="M11" s="122"/>
      <c r="N11" s="122"/>
      <c r="O11" s="122"/>
      <c r="P11" s="122"/>
      <c r="Q11" s="122"/>
      <c r="R11" s="122"/>
      <c r="S11" s="122"/>
      <c r="T11" s="122"/>
    </row>
    <row r="12" spans="1:21" x14ac:dyDescent="0.25">
      <c r="A12" s="126"/>
      <c r="B12" s="41" t="s">
        <v>25</v>
      </c>
      <c r="C12" s="31"/>
      <c r="D12" s="42"/>
      <c r="E12" s="9" t="s">
        <v>3</v>
      </c>
      <c r="F12" s="9"/>
      <c r="G12" s="9"/>
      <c r="H12" s="37"/>
      <c r="I12" s="38"/>
      <c r="J12" s="37"/>
      <c r="K12" s="38"/>
      <c r="M12" s="122"/>
      <c r="N12" s="122"/>
      <c r="O12" s="122"/>
      <c r="P12" s="122"/>
      <c r="Q12" s="122"/>
      <c r="R12" s="122"/>
      <c r="S12" s="122"/>
      <c r="T12" s="122"/>
    </row>
    <row r="13" spans="1:21" x14ac:dyDescent="0.25">
      <c r="A13" s="126"/>
      <c r="B13" s="41"/>
      <c r="C13" s="31"/>
      <c r="D13" s="42"/>
      <c r="E13" s="9"/>
      <c r="F13" s="9"/>
      <c r="G13" s="9"/>
      <c r="H13" s="8"/>
      <c r="I13" s="12"/>
      <c r="J13" s="8"/>
      <c r="K13" s="12"/>
      <c r="M13" s="122"/>
      <c r="N13" s="122"/>
      <c r="O13" s="122"/>
      <c r="P13" s="122"/>
      <c r="Q13" s="122"/>
      <c r="R13" s="122"/>
      <c r="S13" s="122"/>
      <c r="T13" s="122"/>
    </row>
    <row r="14" spans="1:21" x14ac:dyDescent="0.25">
      <c r="B14" s="107" t="s">
        <v>27</v>
      </c>
      <c r="C14" s="108"/>
      <c r="D14" s="109"/>
      <c r="E14" s="21" t="str">
        <f t="shared" ref="E14:E17" si="0">IF(F14="Fail","*", " ")</f>
        <v xml:space="preserve"> </v>
      </c>
      <c r="F14" s="25"/>
      <c r="G14" s="26" t="s">
        <v>14</v>
      </c>
      <c r="H14" s="67" t="s">
        <v>28</v>
      </c>
      <c r="I14" s="68"/>
      <c r="J14" s="67" t="s">
        <v>29</v>
      </c>
      <c r="K14" s="68"/>
      <c r="L14" s="27"/>
      <c r="M14" s="28" t="str">
        <f>IF(G14="Fail","*", " ")</f>
        <v xml:space="preserve"> </v>
      </c>
    </row>
    <row r="15" spans="1:21" x14ac:dyDescent="0.25">
      <c r="B15" s="107" t="s">
        <v>30</v>
      </c>
      <c r="C15" s="108"/>
      <c r="D15" s="109"/>
      <c r="E15" s="21" t="str">
        <f t="shared" si="0"/>
        <v xml:space="preserve"> </v>
      </c>
      <c r="F15" s="25"/>
      <c r="G15" s="26" t="s">
        <v>14</v>
      </c>
      <c r="H15" s="67" t="s">
        <v>28</v>
      </c>
      <c r="I15" s="68"/>
      <c r="J15" s="67" t="s">
        <v>29</v>
      </c>
      <c r="K15" s="68"/>
      <c r="L15" s="27"/>
      <c r="M15" s="28" t="str">
        <f t="shared" ref="M15:M17" si="1">IF(G15="Fail","*", " ")</f>
        <v xml:space="preserve"> </v>
      </c>
    </row>
    <row r="16" spans="1:21" x14ac:dyDescent="0.25">
      <c r="B16" s="69" t="s">
        <v>31</v>
      </c>
      <c r="C16" s="65"/>
      <c r="D16" s="70"/>
      <c r="E16" s="21" t="str">
        <f t="shared" si="0"/>
        <v xml:space="preserve"> </v>
      </c>
      <c r="F16" s="25"/>
      <c r="G16" s="26" t="s">
        <v>14</v>
      </c>
      <c r="H16" s="67" t="s">
        <v>28</v>
      </c>
      <c r="I16" s="68"/>
      <c r="J16" s="67" t="s">
        <v>29</v>
      </c>
      <c r="K16" s="68"/>
      <c r="L16" s="27"/>
      <c r="M16" s="28" t="str">
        <f t="shared" si="1"/>
        <v xml:space="preserve"> </v>
      </c>
    </row>
    <row r="17" spans="1:21" x14ac:dyDescent="0.25">
      <c r="B17" s="69" t="s">
        <v>32</v>
      </c>
      <c r="C17" s="65"/>
      <c r="D17" s="70"/>
      <c r="E17" s="21" t="str">
        <f t="shared" si="0"/>
        <v xml:space="preserve"> </v>
      </c>
      <c r="F17" s="25"/>
      <c r="G17" s="26" t="s">
        <v>14</v>
      </c>
      <c r="H17" s="67" t="s">
        <v>28</v>
      </c>
      <c r="I17" s="68"/>
      <c r="J17" s="67" t="s">
        <v>29</v>
      </c>
      <c r="K17" s="68"/>
      <c r="L17" s="27"/>
      <c r="M17" s="28" t="str">
        <f t="shared" si="1"/>
        <v xml:space="preserve"> </v>
      </c>
    </row>
    <row r="18" spans="1:21" x14ac:dyDescent="0.25">
      <c r="B18" s="30"/>
      <c r="C18" s="14"/>
      <c r="D18" s="32"/>
      <c r="E18" s="15"/>
      <c r="F18" s="15"/>
      <c r="G18" s="15"/>
      <c r="H18" s="29"/>
      <c r="I18" s="32"/>
      <c r="J18" s="29"/>
      <c r="K18" s="32"/>
      <c r="L18" s="127"/>
      <c r="M18" s="128"/>
    </row>
    <row r="19" spans="1:21" x14ac:dyDescent="0.25">
      <c r="A19" s="129"/>
      <c r="B19" s="43" t="s">
        <v>26</v>
      </c>
      <c r="C19" s="44"/>
      <c r="D19" s="45"/>
      <c r="E19" s="21"/>
      <c r="F19" s="33"/>
      <c r="G19" s="33"/>
      <c r="H19" s="43" t="s">
        <v>17</v>
      </c>
      <c r="I19" s="44"/>
      <c r="J19" s="44"/>
      <c r="K19" s="45"/>
      <c r="L19" s="4"/>
      <c r="M19" s="5"/>
    </row>
    <row r="20" spans="1:21" ht="15" customHeight="1" x14ac:dyDescent="0.25">
      <c r="A20" s="126"/>
      <c r="B20" s="13" t="s">
        <v>21</v>
      </c>
      <c r="C20" s="14">
        <v>4</v>
      </c>
      <c r="D20" s="42" t="s">
        <v>18</v>
      </c>
      <c r="E20" s="15" t="str">
        <f>IF(AND(F20&gt;=H20,F20&lt;=J20),"",IF(OR(F20="",F20="N/A"),"","*"))</f>
        <v/>
      </c>
      <c r="F20" s="6"/>
      <c r="G20" s="6" t="s">
        <v>14</v>
      </c>
      <c r="H20" s="17">
        <f t="shared" ref="H20" si="2">(C20-L20)</f>
        <v>3.94</v>
      </c>
      <c r="I20" s="23" t="str">
        <f>(D20)</f>
        <v>mA</v>
      </c>
      <c r="J20" s="17">
        <f t="shared" ref="J20" si="3">(L20+C20)</f>
        <v>4.0599999999999996</v>
      </c>
      <c r="K20" s="23" t="str">
        <f>(D20)</f>
        <v>mA</v>
      </c>
      <c r="L20" s="127">
        <f>ROUND(0.2%*ABS(C20)+0.05,2)</f>
        <v>0.06</v>
      </c>
      <c r="M20" s="130" t="str">
        <f>IF(AND(G20&gt;=H20,G20&lt;=J20),"",IF(OR(G20="",G20="N/A"),"","*"))</f>
        <v/>
      </c>
      <c r="O20" s="122"/>
      <c r="P20" s="122" t="s">
        <v>22</v>
      </c>
      <c r="Q20" s="122"/>
      <c r="R20" s="122"/>
      <c r="S20" s="122"/>
    </row>
    <row r="21" spans="1:21" ht="15" customHeight="1" x14ac:dyDescent="0.25">
      <c r="A21" s="126"/>
      <c r="B21" s="19"/>
      <c r="C21" s="14">
        <v>-4</v>
      </c>
      <c r="D21" s="42" t="s">
        <v>18</v>
      </c>
      <c r="E21" s="15" t="str">
        <f t="shared" ref="E21:E25" si="4">IF(AND(F21&gt;=H21,F21&lt;=J21),"",IF(OR(F21="",F21="N/A"),"","*"))</f>
        <v/>
      </c>
      <c r="F21" s="6"/>
      <c r="G21" s="6" t="s">
        <v>14</v>
      </c>
      <c r="H21" s="17">
        <f t="shared" ref="H21:H25" si="5">(C21-L21)</f>
        <v>-4.0599999999999996</v>
      </c>
      <c r="I21" s="23" t="str">
        <f t="shared" ref="I21:I25" si="6">(D21)</f>
        <v>mA</v>
      </c>
      <c r="J21" s="17">
        <f t="shared" ref="J21:J25" si="7">(L21+C21)</f>
        <v>-3.94</v>
      </c>
      <c r="K21" s="23" t="str">
        <f t="shared" ref="K21:K25" si="8">(D21)</f>
        <v>mA</v>
      </c>
      <c r="L21" s="127">
        <f t="shared" ref="L21:L25" si="9">ROUND(0.2%*ABS(C21)+0.05,2)</f>
        <v>0.06</v>
      </c>
      <c r="M21" s="130" t="str">
        <f t="shared" ref="M21:M25" si="10">IF(AND(G21&gt;=H21,G21&lt;=J21),"",IF(OR(G21="",G21="N/A"),"","*"))</f>
        <v/>
      </c>
      <c r="O21" s="122"/>
      <c r="P21" s="122" t="s">
        <v>23</v>
      </c>
      <c r="Q21" s="122"/>
      <c r="R21" s="122"/>
      <c r="S21" s="122"/>
    </row>
    <row r="22" spans="1:21" ht="15" customHeight="1" x14ac:dyDescent="0.25">
      <c r="A22" s="126"/>
      <c r="B22" s="19"/>
      <c r="C22" s="14">
        <v>12</v>
      </c>
      <c r="D22" s="42" t="s">
        <v>18</v>
      </c>
      <c r="E22" s="15" t="str">
        <f t="shared" si="4"/>
        <v/>
      </c>
      <c r="F22" s="6"/>
      <c r="G22" s="6" t="s">
        <v>14</v>
      </c>
      <c r="H22" s="17">
        <f t="shared" si="5"/>
        <v>11.93</v>
      </c>
      <c r="I22" s="23" t="str">
        <f t="shared" si="6"/>
        <v>mA</v>
      </c>
      <c r="J22" s="17">
        <f t="shared" si="7"/>
        <v>12.07</v>
      </c>
      <c r="K22" s="23" t="str">
        <f t="shared" si="8"/>
        <v>mA</v>
      </c>
      <c r="L22" s="127">
        <f t="shared" si="9"/>
        <v>7.0000000000000007E-2</v>
      </c>
      <c r="M22" s="130" t="str">
        <f t="shared" si="10"/>
        <v/>
      </c>
      <c r="O22" s="122"/>
      <c r="Q22" s="122"/>
      <c r="R22" s="122"/>
      <c r="S22" s="122"/>
    </row>
    <row r="23" spans="1:21" ht="15" customHeight="1" x14ac:dyDescent="0.25">
      <c r="A23" s="126"/>
      <c r="B23" s="19"/>
      <c r="C23" s="14">
        <v>-12</v>
      </c>
      <c r="D23" s="42" t="s">
        <v>18</v>
      </c>
      <c r="E23" s="15" t="str">
        <f t="shared" si="4"/>
        <v/>
      </c>
      <c r="F23" s="6"/>
      <c r="G23" s="6" t="s">
        <v>14</v>
      </c>
      <c r="H23" s="17">
        <f t="shared" si="5"/>
        <v>-12.07</v>
      </c>
      <c r="I23" s="23" t="str">
        <f t="shared" si="6"/>
        <v>mA</v>
      </c>
      <c r="J23" s="17">
        <f t="shared" si="7"/>
        <v>-11.93</v>
      </c>
      <c r="K23" s="23" t="str">
        <f t="shared" si="8"/>
        <v>mA</v>
      </c>
      <c r="L23" s="127">
        <f t="shared" si="9"/>
        <v>7.0000000000000007E-2</v>
      </c>
      <c r="M23" s="130" t="str">
        <f t="shared" si="10"/>
        <v/>
      </c>
      <c r="O23" s="122"/>
      <c r="P23" s="122"/>
      <c r="Q23" s="122"/>
      <c r="R23" s="122"/>
      <c r="S23" s="122"/>
    </row>
    <row r="24" spans="1:21" ht="15" customHeight="1" x14ac:dyDescent="0.25">
      <c r="A24" s="126"/>
      <c r="B24" s="19"/>
      <c r="C24" s="14">
        <v>20</v>
      </c>
      <c r="D24" s="42" t="s">
        <v>18</v>
      </c>
      <c r="E24" s="15" t="str">
        <f t="shared" si="4"/>
        <v/>
      </c>
      <c r="F24" s="6"/>
      <c r="G24" s="6" t="s">
        <v>14</v>
      </c>
      <c r="H24" s="17">
        <f t="shared" si="5"/>
        <v>19.91</v>
      </c>
      <c r="I24" s="23" t="str">
        <f t="shared" si="6"/>
        <v>mA</v>
      </c>
      <c r="J24" s="17">
        <f t="shared" si="7"/>
        <v>20.09</v>
      </c>
      <c r="K24" s="23" t="str">
        <f t="shared" si="8"/>
        <v>mA</v>
      </c>
      <c r="L24" s="127">
        <f t="shared" si="9"/>
        <v>0.09</v>
      </c>
      <c r="M24" s="130" t="str">
        <f t="shared" si="10"/>
        <v/>
      </c>
      <c r="O24" s="122"/>
      <c r="P24" s="122"/>
      <c r="Q24" s="122"/>
      <c r="R24" s="122"/>
      <c r="S24" s="122"/>
    </row>
    <row r="25" spans="1:21" ht="15" customHeight="1" x14ac:dyDescent="0.25">
      <c r="A25" s="126"/>
      <c r="B25" s="19"/>
      <c r="C25" s="14">
        <v>-20</v>
      </c>
      <c r="D25" s="42" t="s">
        <v>18</v>
      </c>
      <c r="E25" s="15" t="str">
        <f t="shared" si="4"/>
        <v/>
      </c>
      <c r="F25" s="6"/>
      <c r="G25" s="6" t="s">
        <v>14</v>
      </c>
      <c r="H25" s="17">
        <f t="shared" si="5"/>
        <v>-20.09</v>
      </c>
      <c r="I25" s="23" t="str">
        <f t="shared" si="6"/>
        <v>mA</v>
      </c>
      <c r="J25" s="17">
        <f t="shared" si="7"/>
        <v>-19.91</v>
      </c>
      <c r="K25" s="23" t="str">
        <f t="shared" si="8"/>
        <v>mA</v>
      </c>
      <c r="L25" s="127">
        <f t="shared" si="9"/>
        <v>0.09</v>
      </c>
      <c r="M25" s="130" t="str">
        <f t="shared" si="10"/>
        <v/>
      </c>
      <c r="O25" s="122"/>
      <c r="P25" s="122"/>
      <c r="Q25" s="122"/>
      <c r="R25" s="122"/>
      <c r="S25" s="122"/>
    </row>
    <row r="26" spans="1:21" ht="15" customHeight="1" x14ac:dyDescent="0.25">
      <c r="A26" s="126"/>
      <c r="B26" s="19"/>
      <c r="C26" s="14"/>
      <c r="D26" s="32"/>
      <c r="E26" s="32"/>
      <c r="F26" s="15"/>
      <c r="G26" s="15"/>
      <c r="H26" s="46" t="s">
        <v>20</v>
      </c>
      <c r="I26" s="47"/>
      <c r="J26" s="47"/>
      <c r="K26" s="48"/>
      <c r="L26" s="127"/>
      <c r="M26" s="101"/>
      <c r="O26" s="122"/>
      <c r="P26" s="122"/>
      <c r="Q26" s="122"/>
      <c r="R26" s="122"/>
      <c r="S26" s="122"/>
    </row>
    <row r="27" spans="1:21" x14ac:dyDescent="0.25">
      <c r="A27" s="129"/>
      <c r="B27" s="13" t="s">
        <v>19</v>
      </c>
      <c r="C27" s="14">
        <v>100</v>
      </c>
      <c r="D27" s="42" t="s">
        <v>18</v>
      </c>
      <c r="E27" s="15" t="str">
        <f>IF(AND(F27&gt;=H27,F27&lt;=J27),"",IF(OR(F27="",F27="N/A"),"","*"))</f>
        <v/>
      </c>
      <c r="F27" s="24"/>
      <c r="G27" s="24" t="s">
        <v>14</v>
      </c>
      <c r="H27" s="16">
        <f>(C27-L27)</f>
        <v>98.5</v>
      </c>
      <c r="I27" s="22" t="str">
        <f>(D27)</f>
        <v>mA</v>
      </c>
      <c r="J27" s="16">
        <f>(L27+C27)</f>
        <v>101.5</v>
      </c>
      <c r="K27" s="22" t="str">
        <f>(D27)</f>
        <v>mA</v>
      </c>
      <c r="L27" s="127">
        <f>ROUND(1%*C27+0.5,1)</f>
        <v>1.5</v>
      </c>
      <c r="M27" s="130" t="str">
        <f>IF(AND(G27&gt;=H27,G27&lt;=J27),"",IF(OR(G27="",G27="N/A"),"","*"))</f>
        <v/>
      </c>
    </row>
    <row r="28" spans="1:21" x14ac:dyDescent="0.25">
      <c r="A28" s="129"/>
      <c r="B28" s="19"/>
      <c r="C28" s="14">
        <v>-100</v>
      </c>
      <c r="D28" s="42" t="s">
        <v>18</v>
      </c>
      <c r="E28" s="15" t="str">
        <f>IF(AND(F28&gt;=H28,F28&lt;=J28),"",IF(OR(F28="",F28="N/A"),"","*"))</f>
        <v/>
      </c>
      <c r="F28" s="24"/>
      <c r="G28" s="24" t="s">
        <v>14</v>
      </c>
      <c r="H28" s="16">
        <f>(C28-L28)</f>
        <v>-101.5</v>
      </c>
      <c r="I28" s="22" t="str">
        <f>(D28)</f>
        <v>mA</v>
      </c>
      <c r="J28" s="16">
        <f>(L28+C28)</f>
        <v>-98.5</v>
      </c>
      <c r="K28" s="22" t="str">
        <f>(D28)</f>
        <v>mA</v>
      </c>
      <c r="L28" s="127">
        <f>ROUND(1%*ABS(C28)+0.5,1)</f>
        <v>1.5</v>
      </c>
      <c r="M28" s="130" t="str">
        <f>IF(AND(G28&gt;=H28,G28&lt;=J28),"",IF(OR(G28="",G28="N/A"),"","*"))</f>
        <v/>
      </c>
    </row>
    <row r="29" spans="1:21" s="111" customFormat="1" x14ac:dyDescent="0.25">
      <c r="A29" s="126"/>
      <c r="B29" s="30"/>
      <c r="C29" s="20"/>
      <c r="D29" s="32"/>
      <c r="E29" s="15"/>
      <c r="F29" s="33"/>
      <c r="G29" s="18"/>
      <c r="H29" s="8"/>
      <c r="I29" s="12"/>
      <c r="J29" s="8"/>
      <c r="K29" s="12"/>
      <c r="L29" s="127"/>
      <c r="M29" s="122"/>
      <c r="N29" s="122"/>
      <c r="O29" s="122"/>
      <c r="P29" s="122"/>
      <c r="Q29" s="122"/>
      <c r="R29" s="122"/>
    </row>
    <row r="30" spans="1:21" x14ac:dyDescent="0.25">
      <c r="A30" s="131"/>
      <c r="B30" s="132"/>
      <c r="C30" s="133"/>
      <c r="D30" s="133"/>
      <c r="E30" s="133"/>
      <c r="F30" s="133"/>
      <c r="G30" s="133"/>
      <c r="H30" s="133"/>
      <c r="I30" s="133"/>
      <c r="J30" s="133"/>
      <c r="K30" s="134"/>
      <c r="L30" s="1" t="s">
        <v>13</v>
      </c>
      <c r="M30" s="3">
        <f>COUNTBLANK(F14:G17)+COUNTBLANK(F20:G25)+COUNTBLANK(F27:G28)</f>
        <v>12</v>
      </c>
      <c r="N30" s="2" t="str">
        <f>IF(M30&gt;0,"Fail","Pass")</f>
        <v>Fail</v>
      </c>
      <c r="O30" s="122"/>
      <c r="P30" s="122"/>
      <c r="Q30" s="122"/>
      <c r="R30" s="122"/>
      <c r="S30" s="122"/>
      <c r="T30" s="131"/>
      <c r="U30" s="111"/>
    </row>
    <row r="31" spans="1:21" x14ac:dyDescent="0.25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5"/>
    </row>
    <row r="32" spans="1:21" x14ac:dyDescent="0.25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5"/>
    </row>
    <row r="33" spans="1:21" x14ac:dyDescent="0.25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5"/>
    </row>
    <row r="34" spans="1:21" x14ac:dyDescent="0.25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5"/>
      <c r="O34" s="122"/>
      <c r="P34" s="122"/>
      <c r="Q34" s="122"/>
      <c r="R34" s="122"/>
      <c r="S34" s="122"/>
      <c r="T34" s="131"/>
      <c r="U34" s="111"/>
    </row>
    <row r="35" spans="1:21" x14ac:dyDescent="0.25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5"/>
    </row>
    <row r="36" spans="1:21" x14ac:dyDescent="0.25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5"/>
    </row>
    <row r="37" spans="1:21" x14ac:dyDescent="0.25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5"/>
    </row>
    <row r="38" spans="1:21" x14ac:dyDescent="0.25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5"/>
    </row>
    <row r="39" spans="1:21" x14ac:dyDescent="0.25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5"/>
    </row>
    <row r="40" spans="1:21" x14ac:dyDescent="0.25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5"/>
    </row>
    <row r="41" spans="1:21" x14ac:dyDescent="0.25"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5"/>
    </row>
    <row r="42" spans="1:21" x14ac:dyDescent="0.25"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5"/>
    </row>
    <row r="43" spans="1:21" x14ac:dyDescent="0.25"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5"/>
    </row>
    <row r="44" spans="1:21" x14ac:dyDescent="0.25"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5"/>
    </row>
  </sheetData>
  <mergeCells count="38">
    <mergeCell ref="B17:D17"/>
    <mergeCell ref="H17:I17"/>
    <mergeCell ref="J17:K17"/>
    <mergeCell ref="J14:K14"/>
    <mergeCell ref="H15:I15"/>
    <mergeCell ref="J15:K15"/>
    <mergeCell ref="B16:D16"/>
    <mergeCell ref="H16:I16"/>
    <mergeCell ref="J16:K16"/>
    <mergeCell ref="B14:D14"/>
    <mergeCell ref="B15:D15"/>
    <mergeCell ref="L1:N1"/>
    <mergeCell ref="B4:D4"/>
    <mergeCell ref="E1:G1"/>
    <mergeCell ref="E4:G4"/>
    <mergeCell ref="H4:K4"/>
    <mergeCell ref="H1:K1"/>
    <mergeCell ref="B3:K3"/>
    <mergeCell ref="B1:C1"/>
    <mergeCell ref="B2:D2"/>
    <mergeCell ref="E2:H2"/>
    <mergeCell ref="I2:K2"/>
    <mergeCell ref="H19:K19"/>
    <mergeCell ref="B30:K30"/>
    <mergeCell ref="B19:D19"/>
    <mergeCell ref="H26:K26"/>
    <mergeCell ref="B5:D5"/>
    <mergeCell ref="H5:K5"/>
    <mergeCell ref="J6:K6"/>
    <mergeCell ref="H6:I6"/>
    <mergeCell ref="F5:G5"/>
    <mergeCell ref="C6:D6"/>
    <mergeCell ref="B7:D7"/>
    <mergeCell ref="B8:D8"/>
    <mergeCell ref="J8:K8"/>
    <mergeCell ref="B9:D9"/>
    <mergeCell ref="B10:D10"/>
    <mergeCell ref="H14:I14"/>
  </mergeCells>
  <conditionalFormatting sqref="E19">
    <cfRule type="expression" dxfId="61" priority="24">
      <formula>$N$6=2</formula>
    </cfRule>
    <cfRule type="expression" dxfId="60" priority="25">
      <formula>$N$6=1</formula>
    </cfRule>
  </conditionalFormatting>
  <conditionalFormatting sqref="F27:G28">
    <cfRule type="expression" dxfId="59" priority="22">
      <formula>$N$6=2</formula>
    </cfRule>
    <cfRule type="expression" dxfId="58" priority="23">
      <formula>$N$6=1</formula>
    </cfRule>
  </conditionalFormatting>
  <conditionalFormatting sqref="J15 E15 G15:H15">
    <cfRule type="expression" dxfId="57" priority="3">
      <formula>$N$6=2</formula>
    </cfRule>
    <cfRule type="expression" dxfId="56" priority="4">
      <formula>$N$6=1</formula>
    </cfRule>
  </conditionalFormatting>
  <conditionalFormatting sqref="J17 E17 G17:H17">
    <cfRule type="expression" dxfId="55" priority="7">
      <formula>$N$6=2</formula>
    </cfRule>
    <cfRule type="expression" dxfId="54" priority="8">
      <formula>$N$6=1</formula>
    </cfRule>
  </conditionalFormatting>
  <conditionalFormatting sqref="J14 E14:H14 F15:F17">
    <cfRule type="expression" dxfId="53" priority="5">
      <formula>$N$6=2</formula>
    </cfRule>
    <cfRule type="expression" dxfId="52" priority="6">
      <formula>$N$6=1</formula>
    </cfRule>
  </conditionalFormatting>
  <conditionalFormatting sqref="J16 E16 G16:H16">
    <cfRule type="expression" dxfId="51" priority="1">
      <formula>$N$6=2</formula>
    </cfRule>
    <cfRule type="expression" dxfId="50" priority="2">
      <formula>$N$6=1</formula>
    </cfRule>
  </conditionalFormatting>
  <printOptions horizontalCentered="1"/>
  <pageMargins left="0.2" right="0.2" top="0.25" bottom="0.5" header="0.3" footer="0.3"/>
  <pageSetup orientation="portrait" blackAndWhite="1" r:id="rId1"/>
  <headerFooter>
    <oddFooter>&amp;LJMT# 11122C&amp;R&amp;P of &amp;N</oddFooter>
  </headerFooter>
  <ignoredErrors>
    <ignoredError sqref="E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zoomScaleNormal="100" workbookViewId="0">
      <selection activeCell="A2" sqref="A2"/>
    </sheetView>
  </sheetViews>
  <sheetFormatPr defaultRowHeight="15" customHeight="1" x14ac:dyDescent="0.25"/>
  <cols>
    <col min="1" max="1" width="9.140625" style="114" customWidth="1"/>
    <col min="2" max="2" width="17.85546875" style="114" customWidth="1"/>
    <col min="3" max="3" width="8.140625" style="114" customWidth="1"/>
    <col min="4" max="4" width="5" style="114" customWidth="1"/>
    <col min="5" max="5" width="4" style="114" customWidth="1"/>
    <col min="6" max="7" width="9.140625" style="114" customWidth="1"/>
    <col min="8" max="9" width="15.140625" style="114" customWidth="1"/>
    <col min="10" max="10" width="10.7109375" style="114" customWidth="1"/>
    <col min="11" max="23" width="12" style="114" customWidth="1"/>
    <col min="24" max="16384" width="9.140625" style="114"/>
  </cols>
  <sheetData>
    <row r="1" spans="1:23" ht="15" customHeight="1" x14ac:dyDescent="0.25">
      <c r="A1" s="71"/>
      <c r="B1" s="72" t="s">
        <v>6</v>
      </c>
      <c r="C1" s="72"/>
      <c r="D1" s="72"/>
      <c r="E1" s="73" t="s">
        <v>7</v>
      </c>
      <c r="F1" s="73"/>
      <c r="G1" s="73"/>
      <c r="H1" s="74">
        <f>(WONUM)</f>
        <v>0</v>
      </c>
      <c r="I1" s="74"/>
      <c r="J1" s="74"/>
      <c r="K1" s="75"/>
      <c r="L1" s="75"/>
      <c r="M1" s="75"/>
      <c r="N1" s="75"/>
      <c r="O1" s="76">
        <v>4</v>
      </c>
      <c r="P1" s="75" t="s">
        <v>33</v>
      </c>
      <c r="Q1" s="75"/>
      <c r="R1" s="75"/>
      <c r="S1" s="75"/>
      <c r="T1" s="75"/>
      <c r="U1" s="75"/>
      <c r="V1" s="75"/>
      <c r="W1" s="71"/>
    </row>
    <row r="2" spans="1:23" ht="15" customHeight="1" x14ac:dyDescent="0.25">
      <c r="A2" s="71"/>
      <c r="B2" s="77">
        <f>(MANUFACTURER)</f>
        <v>0</v>
      </c>
      <c r="C2" s="77"/>
      <c r="D2" s="77"/>
      <c r="E2" s="77">
        <f>(MODEL)</f>
        <v>0</v>
      </c>
      <c r="F2" s="77"/>
      <c r="G2" s="77"/>
      <c r="H2" s="77"/>
      <c r="I2" s="77"/>
      <c r="J2" s="77"/>
      <c r="K2" s="75"/>
      <c r="L2" s="78"/>
      <c r="M2" s="78"/>
      <c r="N2" s="78"/>
      <c r="O2" s="112" t="s">
        <v>58</v>
      </c>
      <c r="P2" s="78"/>
      <c r="Q2" s="78"/>
      <c r="R2" s="78"/>
      <c r="S2" s="75"/>
      <c r="T2" s="75"/>
      <c r="U2" s="75"/>
      <c r="V2" s="75"/>
      <c r="W2" s="71"/>
    </row>
    <row r="3" spans="1:23" ht="15" customHeight="1" x14ac:dyDescent="0.25">
      <c r="A3" s="71"/>
      <c r="B3" s="77">
        <f>(DESCRIPTION)</f>
        <v>0</v>
      </c>
      <c r="C3" s="77"/>
      <c r="D3" s="77"/>
      <c r="E3" s="77"/>
      <c r="F3" s="77"/>
      <c r="G3" s="77"/>
      <c r="H3" s="77"/>
      <c r="I3" s="77"/>
      <c r="J3" s="77"/>
      <c r="K3" s="75"/>
      <c r="L3" s="78"/>
      <c r="M3" s="78"/>
      <c r="N3" s="78"/>
      <c r="O3" s="95" t="s">
        <v>34</v>
      </c>
      <c r="P3" s="78"/>
      <c r="Q3" s="78"/>
      <c r="R3" s="78"/>
      <c r="S3" s="75"/>
      <c r="T3" s="75"/>
      <c r="U3" s="75"/>
      <c r="V3" s="75"/>
      <c r="W3" s="71"/>
    </row>
    <row r="4" spans="1:23" ht="15" customHeight="1" thickBot="1" x14ac:dyDescent="0.3">
      <c r="A4" s="71"/>
      <c r="B4" s="79">
        <f>(SN)</f>
        <v>0</v>
      </c>
      <c r="C4" s="79"/>
      <c r="D4" s="79"/>
      <c r="E4" s="79">
        <f>(CUSTID)</f>
        <v>0</v>
      </c>
      <c r="F4" s="79"/>
      <c r="G4" s="79"/>
      <c r="H4" s="80">
        <f>(CUSTSN)</f>
        <v>0</v>
      </c>
      <c r="I4" s="80"/>
      <c r="J4" s="80"/>
      <c r="K4" s="75"/>
      <c r="L4" s="71"/>
      <c r="M4" s="71"/>
      <c r="N4" s="71"/>
      <c r="O4" s="71"/>
      <c r="P4" s="71"/>
      <c r="Q4" s="71"/>
      <c r="R4" s="71"/>
      <c r="S4" s="75"/>
      <c r="T4" s="75"/>
      <c r="U4" s="75"/>
      <c r="V4" s="75"/>
      <c r="W4" s="71"/>
    </row>
    <row r="5" spans="1:23" ht="15" customHeight="1" x14ac:dyDescent="0.25">
      <c r="A5" s="71"/>
      <c r="B5" s="81" t="s">
        <v>35</v>
      </c>
      <c r="C5" s="81"/>
      <c r="D5" s="81"/>
      <c r="E5" s="82" t="s">
        <v>0</v>
      </c>
      <c r="F5" s="81" t="s">
        <v>9</v>
      </c>
      <c r="G5" s="81"/>
      <c r="H5" s="82" t="s">
        <v>36</v>
      </c>
      <c r="I5" s="82" t="s">
        <v>37</v>
      </c>
      <c r="J5" s="82" t="s">
        <v>38</v>
      </c>
      <c r="K5" s="75"/>
      <c r="L5" s="71"/>
      <c r="M5" s="71"/>
      <c r="N5" s="71"/>
      <c r="O5" s="71"/>
      <c r="P5" s="71"/>
      <c r="Q5" s="71"/>
      <c r="R5" s="71"/>
      <c r="S5" s="75"/>
      <c r="T5" s="75"/>
      <c r="U5" s="75"/>
      <c r="V5" s="75"/>
      <c r="W5" s="71"/>
    </row>
    <row r="6" spans="1:23" ht="15" customHeight="1" thickBot="1" x14ac:dyDescent="0.3">
      <c r="A6" s="71"/>
      <c r="B6" s="83" t="s">
        <v>39</v>
      </c>
      <c r="C6" s="83"/>
      <c r="D6" s="84" t="s">
        <v>8</v>
      </c>
      <c r="E6" s="85" t="s">
        <v>40</v>
      </c>
      <c r="F6" s="85" t="s">
        <v>41</v>
      </c>
      <c r="G6" s="85" t="s">
        <v>42</v>
      </c>
      <c r="H6" s="86" t="s">
        <v>43</v>
      </c>
      <c r="I6" s="86" t="s">
        <v>59</v>
      </c>
      <c r="J6" s="86" t="s">
        <v>44</v>
      </c>
    </row>
    <row r="7" spans="1:23" ht="15" customHeight="1" x14ac:dyDescent="0.25">
      <c r="A7" s="71"/>
      <c r="B7" s="90"/>
      <c r="C7" s="90"/>
      <c r="D7" s="91"/>
      <c r="E7" s="92"/>
      <c r="F7" s="92"/>
      <c r="G7" s="92"/>
      <c r="H7" s="93"/>
      <c r="I7" s="93"/>
      <c r="J7" s="93"/>
      <c r="K7" s="78"/>
      <c r="L7" s="94"/>
      <c r="M7" s="95"/>
      <c r="N7" s="71"/>
      <c r="O7" s="75"/>
      <c r="P7" s="71"/>
      <c r="Q7" s="71"/>
      <c r="R7" s="71"/>
      <c r="S7" s="75"/>
      <c r="T7" s="75"/>
      <c r="U7" s="75"/>
      <c r="V7" s="75"/>
      <c r="W7" s="71"/>
    </row>
    <row r="8" spans="1:23" ht="15" customHeight="1" x14ac:dyDescent="0.25">
      <c r="A8" s="71"/>
      <c r="B8" s="96" t="s">
        <v>55</v>
      </c>
      <c r="C8" s="96"/>
      <c r="D8" s="96"/>
      <c r="E8" s="97"/>
      <c r="F8" s="98" t="str">
        <f>(Datasheet!F8)</f>
        <v>Pass</v>
      </c>
      <c r="G8" s="98" t="str">
        <f>(Datasheet!G8)</f>
        <v>Pass</v>
      </c>
      <c r="H8" s="88" t="str">
        <f>Datasheet!J8</f>
        <v>Status: Incomplete</v>
      </c>
      <c r="I8" s="98"/>
      <c r="J8" s="98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ht="15" customHeight="1" x14ac:dyDescent="0.25">
      <c r="A9" s="71"/>
      <c r="B9" s="99" t="s">
        <v>56</v>
      </c>
      <c r="C9" s="100"/>
      <c r="D9" s="99"/>
      <c r="E9" s="97"/>
      <c r="F9" s="98"/>
      <c r="G9" s="98"/>
      <c r="H9" s="98"/>
      <c r="I9" s="98"/>
      <c r="J9" s="98"/>
      <c r="K9" s="95"/>
      <c r="L9" s="95"/>
      <c r="M9" s="95"/>
      <c r="N9" s="71"/>
      <c r="O9" s="71"/>
      <c r="P9" s="71"/>
      <c r="Q9" s="71"/>
      <c r="R9" s="71"/>
      <c r="S9" s="71"/>
      <c r="T9" s="71"/>
      <c r="U9" s="71"/>
      <c r="V9" s="71"/>
      <c r="W9" s="71"/>
    </row>
    <row r="10" spans="1:23" ht="15" customHeight="1" x14ac:dyDescent="0.25">
      <c r="A10" s="71"/>
      <c r="B10" s="99" t="str">
        <f>(PROCEDURE)</f>
        <v>I/A/W MFR Procedure</v>
      </c>
      <c r="C10" s="100"/>
      <c r="D10" s="99"/>
      <c r="E10" s="97"/>
      <c r="F10" s="98"/>
      <c r="G10" s="98"/>
      <c r="H10" s="98"/>
      <c r="I10" s="98"/>
      <c r="J10" s="98"/>
      <c r="K10" s="95"/>
      <c r="L10" s="95"/>
      <c r="M10" s="95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spans="1:23" ht="15" customHeight="1" x14ac:dyDescent="0.25">
      <c r="A11" s="95"/>
      <c r="B11" s="99" t="str">
        <f>T(Datasheet!B11)</f>
        <v/>
      </c>
      <c r="C11" s="100"/>
      <c r="D11" s="99"/>
      <c r="E11" s="97"/>
      <c r="F11" s="102"/>
      <c r="G11" s="102"/>
      <c r="H11" s="98" t="str">
        <f>T(Datasheet!H11)</f>
        <v/>
      </c>
      <c r="I11" s="98"/>
      <c r="J11" s="98"/>
      <c r="K11" s="95"/>
      <c r="L11" s="95"/>
      <c r="M11" s="98"/>
      <c r="N11" s="98"/>
      <c r="O11" s="98"/>
      <c r="P11" s="71"/>
      <c r="Q11" s="71"/>
      <c r="R11" s="71"/>
      <c r="S11" s="71"/>
      <c r="T11" s="71"/>
      <c r="U11" s="71"/>
      <c r="V11" s="71"/>
      <c r="W11" s="71"/>
    </row>
    <row r="12" spans="1:23" ht="15" customHeight="1" x14ac:dyDescent="0.25">
      <c r="A12" s="95"/>
      <c r="B12" s="99" t="str">
        <f>T(Datasheet!B12)</f>
        <v>Milliamp Process Clamp Meter</v>
      </c>
      <c r="C12" s="100"/>
      <c r="D12" s="99"/>
      <c r="E12" s="97"/>
      <c r="F12" s="102"/>
      <c r="G12" s="102"/>
      <c r="H12" s="98" t="str">
        <f>T(Datasheet!H12)</f>
        <v/>
      </c>
      <c r="I12" s="98"/>
      <c r="J12" s="98"/>
      <c r="K12" s="95"/>
      <c r="L12" s="95"/>
      <c r="M12" s="98"/>
      <c r="N12" s="98"/>
      <c r="O12" s="98"/>
      <c r="P12" s="71"/>
      <c r="Q12" s="71"/>
      <c r="R12" s="71"/>
      <c r="S12" s="71"/>
      <c r="T12" s="71"/>
      <c r="U12" s="71"/>
      <c r="V12" s="71"/>
      <c r="W12" s="71"/>
    </row>
    <row r="13" spans="1:23" ht="15" customHeight="1" x14ac:dyDescent="0.25">
      <c r="A13" s="95"/>
      <c r="B13" s="99" t="str">
        <f>T(Datasheet!B13)</f>
        <v/>
      </c>
      <c r="C13" s="100"/>
      <c r="D13" s="99"/>
      <c r="E13" s="97"/>
      <c r="F13" s="102"/>
      <c r="G13" s="102"/>
      <c r="H13" s="98" t="str">
        <f>T(Datasheet!H13)</f>
        <v/>
      </c>
      <c r="I13" s="98"/>
      <c r="J13" s="98"/>
      <c r="K13" s="95"/>
      <c r="L13" s="95"/>
      <c r="M13" s="98"/>
      <c r="N13" s="98"/>
      <c r="O13" s="98"/>
      <c r="P13" s="71"/>
      <c r="Q13" s="71"/>
      <c r="R13" s="71"/>
      <c r="S13" s="71"/>
      <c r="T13" s="71"/>
      <c r="U13" s="71"/>
      <c r="V13" s="71"/>
      <c r="W13" s="71"/>
    </row>
    <row r="14" spans="1:23" ht="15" customHeight="1" x14ac:dyDescent="0.25">
      <c r="A14" s="95"/>
      <c r="B14" s="110" t="str">
        <f>T(Datasheet!B14)</f>
        <v>Backlight Test</v>
      </c>
      <c r="C14" s="110"/>
      <c r="D14" s="110"/>
      <c r="E14" s="97" t="str">
        <f>IF(Datasheet!E14="*","!","")</f>
        <v/>
      </c>
      <c r="F14" s="102" t="str">
        <f>T(Datasheet!F14)</f>
        <v/>
      </c>
      <c r="G14" s="102" t="str">
        <f>T(Datasheet!G14)</f>
        <v>N/A</v>
      </c>
      <c r="H14" s="98" t="str">
        <f>"Pass/Fail"</f>
        <v>Pass/Fail</v>
      </c>
      <c r="I14" s="98"/>
      <c r="J14" s="98"/>
      <c r="K14" s="95"/>
      <c r="L14" s="95"/>
      <c r="M14" s="98"/>
      <c r="N14" s="98"/>
      <c r="O14" s="98"/>
      <c r="P14" s="71"/>
      <c r="Q14" s="71"/>
      <c r="R14" s="71"/>
      <c r="S14" s="71"/>
      <c r="T14" s="71"/>
      <c r="U14" s="71"/>
      <c r="V14" s="71"/>
      <c r="W14" s="71"/>
    </row>
    <row r="15" spans="1:23" ht="15" customHeight="1" x14ac:dyDescent="0.25">
      <c r="A15" s="95"/>
      <c r="B15" s="110" t="str">
        <f>T(Datasheet!B15)</f>
        <v>Display Test</v>
      </c>
      <c r="C15" s="110"/>
      <c r="D15" s="110"/>
      <c r="E15" s="97" t="str">
        <f>IF(Datasheet!E15="*","!","")</f>
        <v/>
      </c>
      <c r="F15" s="102" t="str">
        <f>T(Datasheet!F15)</f>
        <v/>
      </c>
      <c r="G15" s="102" t="str">
        <f>T(Datasheet!G15)</f>
        <v>N/A</v>
      </c>
      <c r="H15" s="98" t="str">
        <f>"Pass/Fail"</f>
        <v>Pass/Fail</v>
      </c>
      <c r="I15" s="98"/>
      <c r="J15" s="98"/>
      <c r="K15" s="95"/>
      <c r="L15" s="95"/>
      <c r="M15" s="98"/>
      <c r="N15" s="98"/>
      <c r="O15" s="98"/>
      <c r="P15" s="71"/>
      <c r="Q15" s="71"/>
      <c r="R15" s="71"/>
      <c r="S15" s="71"/>
      <c r="T15" s="71"/>
      <c r="U15" s="71"/>
      <c r="V15" s="71"/>
      <c r="W15" s="71"/>
    </row>
    <row r="16" spans="1:23" ht="15" customHeight="1" x14ac:dyDescent="0.25">
      <c r="A16" s="95"/>
      <c r="B16" s="110" t="str">
        <f>T(Datasheet!B16)</f>
        <v>Keypad Test</v>
      </c>
      <c r="C16" s="110"/>
      <c r="D16" s="110"/>
      <c r="E16" s="97" t="str">
        <f>IF(Datasheet!E16="*","!","")</f>
        <v/>
      </c>
      <c r="F16" s="102" t="str">
        <f>T(Datasheet!F16)</f>
        <v/>
      </c>
      <c r="G16" s="102" t="str">
        <f>T(Datasheet!G16)</f>
        <v>N/A</v>
      </c>
      <c r="H16" s="98" t="str">
        <f>"Pass/Fail"</f>
        <v>Pass/Fail</v>
      </c>
      <c r="I16" s="98"/>
      <c r="J16" s="98"/>
      <c r="K16" s="95"/>
      <c r="L16" s="95"/>
      <c r="M16" s="98"/>
      <c r="N16" s="98"/>
      <c r="O16" s="98"/>
      <c r="P16" s="71"/>
      <c r="Q16" s="71"/>
      <c r="R16" s="71"/>
      <c r="S16" s="71"/>
      <c r="T16" s="71"/>
      <c r="U16" s="71"/>
      <c r="V16" s="71"/>
      <c r="W16" s="71"/>
    </row>
    <row r="17" spans="1:23" ht="15" customHeight="1" x14ac:dyDescent="0.25">
      <c r="A17" s="95"/>
      <c r="B17" s="110" t="str">
        <f>T(Datasheet!B17)</f>
        <v>Spotlight Test</v>
      </c>
      <c r="C17" s="110"/>
      <c r="D17" s="110"/>
      <c r="E17" s="97" t="str">
        <f>IF(Datasheet!E17="*","!","")</f>
        <v/>
      </c>
      <c r="F17" s="102" t="str">
        <f>T(Datasheet!F17)</f>
        <v/>
      </c>
      <c r="G17" s="102" t="str">
        <f>T(Datasheet!G17)</f>
        <v>N/A</v>
      </c>
      <c r="H17" s="98" t="str">
        <f>"Pass/Fail"</f>
        <v>Pass/Fail</v>
      </c>
      <c r="I17" s="98"/>
      <c r="J17" s="98"/>
      <c r="K17" s="95"/>
      <c r="L17" s="95"/>
      <c r="M17" s="98" t="s">
        <v>61</v>
      </c>
      <c r="N17" s="99" t="s">
        <v>62</v>
      </c>
      <c r="O17" s="98"/>
      <c r="P17" s="71"/>
      <c r="Q17" s="71"/>
      <c r="R17" s="71"/>
      <c r="S17" s="71"/>
      <c r="T17" s="71"/>
      <c r="U17" s="71"/>
      <c r="V17" s="71"/>
      <c r="W17" s="71"/>
    </row>
    <row r="18" spans="1:23" ht="15" customHeight="1" x14ac:dyDescent="0.25">
      <c r="A18" s="95"/>
      <c r="B18" s="99" t="str">
        <f>T(Datasheet!B18)</f>
        <v/>
      </c>
      <c r="C18" s="100"/>
      <c r="D18" s="99"/>
      <c r="E18" s="97"/>
      <c r="F18" s="102"/>
      <c r="G18" s="102"/>
      <c r="H18" s="98" t="str">
        <f>T(Datasheet!H18)</f>
        <v/>
      </c>
      <c r="I18" s="98"/>
      <c r="J18" s="98"/>
      <c r="K18" s="95"/>
      <c r="L18" s="95"/>
      <c r="M18" s="98"/>
      <c r="N18" s="98"/>
      <c r="O18" s="98"/>
      <c r="P18" s="71"/>
      <c r="Q18" s="71"/>
      <c r="R18" s="71"/>
      <c r="S18" s="71"/>
      <c r="T18" s="71"/>
      <c r="U18" s="71"/>
      <c r="V18" s="71"/>
      <c r="W18" s="71"/>
    </row>
    <row r="19" spans="1:23" ht="15" customHeight="1" x14ac:dyDescent="0.25">
      <c r="A19" s="95"/>
      <c r="B19" s="96" t="str">
        <f>T(Datasheet!B19)</f>
        <v>DC Current Tests</v>
      </c>
      <c r="C19" s="96"/>
      <c r="D19" s="96"/>
      <c r="E19" s="97"/>
      <c r="F19" s="102"/>
      <c r="G19" s="102"/>
      <c r="H19" s="98" t="str">
        <f>T(Datasheet!H19)</f>
        <v>± 0.2% of RDG + 5D</v>
      </c>
      <c r="I19" s="98"/>
      <c r="J19" s="98"/>
      <c r="K19" s="87" t="s">
        <v>45</v>
      </c>
      <c r="L19" s="88" t="s">
        <v>46</v>
      </c>
      <c r="M19" s="88" t="s">
        <v>47</v>
      </c>
      <c r="N19" s="88" t="s">
        <v>64</v>
      </c>
      <c r="O19" s="88" t="s">
        <v>48</v>
      </c>
      <c r="P19" s="89" t="s">
        <v>49</v>
      </c>
      <c r="Q19" s="89" t="s">
        <v>68</v>
      </c>
      <c r="R19" s="89" t="s">
        <v>50</v>
      </c>
      <c r="S19" s="89" t="s">
        <v>51</v>
      </c>
      <c r="T19" s="89" t="s">
        <v>52</v>
      </c>
      <c r="U19" s="89" t="s">
        <v>60</v>
      </c>
      <c r="V19" s="89" t="s">
        <v>53</v>
      </c>
      <c r="W19" s="89" t="s">
        <v>54</v>
      </c>
    </row>
    <row r="20" spans="1:23" ht="15" customHeight="1" x14ac:dyDescent="0.25">
      <c r="A20" s="94"/>
      <c r="B20" s="99" t="str">
        <f>T(Datasheet!B20)</f>
        <v>20.99 mA</v>
      </c>
      <c r="C20" s="100">
        <f>Datasheet!C20</f>
        <v>4</v>
      </c>
      <c r="D20" s="99" t="str">
        <f>(Datasheet!D20)</f>
        <v>mA</v>
      </c>
      <c r="E20" s="97" t="str">
        <f>IF(Datasheet!E20="*","!","")</f>
        <v/>
      </c>
      <c r="F20" s="102" t="str">
        <f ca="1">IF(CELL("type",Datasheet!F20)="v",FIXED(Datasheet!F20,K20,TRUE),T(Datasheet!F20))</f>
        <v/>
      </c>
      <c r="G20" s="102" t="str">
        <f ca="1">IF(CELL("type",Datasheet!G20)="v",FIXED(Datasheet!G20,K20,TRUE),T(Datasheet!G20))</f>
        <v>N/A</v>
      </c>
      <c r="H20" s="98" t="str">
        <f>"±"&amp;FIXED(Datasheet!L20,K20)&amp;" "&amp;D20</f>
        <v>±0.06 mA</v>
      </c>
      <c r="I20" s="98" t="str">
        <f>V20&amp;" "&amp;D20</f>
        <v>0.0059 mA</v>
      </c>
      <c r="J20" s="103" t="str">
        <f>IF(W20&lt;4,W20,"")</f>
        <v/>
      </c>
      <c r="K20" s="98">
        <v>2</v>
      </c>
      <c r="L20" s="98">
        <f>Datasheet!L20</f>
        <v>0.06</v>
      </c>
      <c r="M20" s="94" t="s">
        <v>63</v>
      </c>
      <c r="N20" s="98">
        <v>1.7999999999999999E-2</v>
      </c>
      <c r="O20" s="98">
        <v>2.5000000000000001E-4</v>
      </c>
      <c r="P20" s="94">
        <f>(ABS(C20)*N20*0.01)+O20</f>
        <v>9.6999999999999994E-4</v>
      </c>
      <c r="Q20" s="94">
        <f>P20/2</f>
        <v>4.8499999999999997E-4</v>
      </c>
      <c r="R20" s="94">
        <f>10^-K20</f>
        <v>0.01</v>
      </c>
      <c r="S20" s="71">
        <f>R20/SQRT(12)</f>
        <v>2.886751345948129E-3</v>
      </c>
      <c r="T20" s="71">
        <f>SQRT(Q20^2+S20^2)</f>
        <v>2.9272099913284894E-3</v>
      </c>
      <c r="U20" s="71">
        <f>T20*2</f>
        <v>5.8544199826569788E-3</v>
      </c>
      <c r="V20" s="94" t="str">
        <f>FIXED(U20,2-(1+INT(LOG10(ABS(U20)))),TRUE)</f>
        <v>0.0059</v>
      </c>
      <c r="W20" s="76">
        <f>L20/V20</f>
        <v>10.169491525423728</v>
      </c>
    </row>
    <row r="21" spans="1:23" ht="15" customHeight="1" x14ac:dyDescent="0.25">
      <c r="A21" s="94"/>
      <c r="B21" s="99" t="str">
        <f>T(Datasheet!B21)</f>
        <v/>
      </c>
      <c r="C21" s="100">
        <f>Datasheet!C21</f>
        <v>-4</v>
      </c>
      <c r="D21" s="99" t="str">
        <f>(Datasheet!D21)</f>
        <v>mA</v>
      </c>
      <c r="E21" s="97" t="str">
        <f>IF(Datasheet!E21="*","!","")</f>
        <v/>
      </c>
      <c r="F21" s="102" t="str">
        <f ca="1">IF(CELL("type",Datasheet!F21)="v",FIXED(Datasheet!F21,K21,TRUE),T(Datasheet!F21))</f>
        <v/>
      </c>
      <c r="G21" s="102" t="str">
        <f ca="1">IF(CELL("type",Datasheet!G21)="v",FIXED(Datasheet!G21,K21,TRUE),T(Datasheet!G21))</f>
        <v>N/A</v>
      </c>
      <c r="H21" s="98" t="str">
        <f>"±"&amp;FIXED(Datasheet!L21,K21)&amp;" "&amp;D21</f>
        <v>±0.06 mA</v>
      </c>
      <c r="I21" s="98" t="str">
        <f>V21&amp;" "&amp;D21</f>
        <v>0.0059 mA</v>
      </c>
      <c r="J21" s="103" t="str">
        <f>IF(W21&lt;4,W21,"")</f>
        <v/>
      </c>
      <c r="K21" s="98">
        <v>2</v>
      </c>
      <c r="L21" s="98">
        <f>Datasheet!L21</f>
        <v>0.06</v>
      </c>
      <c r="M21" s="94" t="s">
        <v>63</v>
      </c>
      <c r="N21" s="98">
        <v>1.7999999999999999E-2</v>
      </c>
      <c r="O21" s="98">
        <v>2.5000000000000001E-4</v>
      </c>
      <c r="P21" s="94">
        <f>(ABS(C21)*N21*0.01)+O21</f>
        <v>9.6999999999999994E-4</v>
      </c>
      <c r="Q21" s="94">
        <f t="shared" ref="Q21:Q28" si="0">P21/2</f>
        <v>4.8499999999999997E-4</v>
      </c>
      <c r="R21" s="94">
        <f>10^-K21</f>
        <v>0.01</v>
      </c>
      <c r="S21" s="71">
        <f>R21/SQRT(12)</f>
        <v>2.886751345948129E-3</v>
      </c>
      <c r="T21" s="71">
        <f>SQRT(Q21^2+S21^2)</f>
        <v>2.9272099913284894E-3</v>
      </c>
      <c r="U21" s="71">
        <f>T21*2</f>
        <v>5.8544199826569788E-3</v>
      </c>
      <c r="V21" s="94" t="str">
        <f>FIXED(U21,2-(1+INT(LOG10(ABS(U21)))),TRUE)</f>
        <v>0.0059</v>
      </c>
      <c r="W21" s="76">
        <f>L21/V21</f>
        <v>10.169491525423728</v>
      </c>
    </row>
    <row r="22" spans="1:23" ht="15" customHeight="1" x14ac:dyDescent="0.25">
      <c r="A22" s="94"/>
      <c r="B22" s="99" t="str">
        <f>T(Datasheet!B22)</f>
        <v/>
      </c>
      <c r="C22" s="100">
        <f>Datasheet!C22</f>
        <v>12</v>
      </c>
      <c r="D22" s="99" t="str">
        <f>(Datasheet!D22)</f>
        <v>mA</v>
      </c>
      <c r="E22" s="97" t="str">
        <f>IF(Datasheet!E22="*","!","")</f>
        <v/>
      </c>
      <c r="F22" s="102" t="str">
        <f ca="1">IF(CELL("type",Datasheet!F22)="v",FIXED(Datasheet!F22,K22,TRUE),T(Datasheet!F22))</f>
        <v/>
      </c>
      <c r="G22" s="102" t="str">
        <f ca="1">IF(CELL("type",Datasheet!G22)="v",FIXED(Datasheet!G22,K22,TRUE),T(Datasheet!G22))</f>
        <v>N/A</v>
      </c>
      <c r="H22" s="98" t="str">
        <f>"±"&amp;FIXED(Datasheet!L22,K22)&amp;" "&amp;D22</f>
        <v>±0.07 mA</v>
      </c>
      <c r="I22" s="98" t="str">
        <f>V22&amp;" "&amp;D22</f>
        <v>0.0063 mA</v>
      </c>
      <c r="J22" s="103" t="str">
        <f>IF(W22&lt;4,W22,"")</f>
        <v/>
      </c>
      <c r="K22" s="98">
        <v>2</v>
      </c>
      <c r="L22" s="98">
        <f>Datasheet!L22</f>
        <v>7.0000000000000007E-2</v>
      </c>
      <c r="M22" s="94" t="s">
        <v>63</v>
      </c>
      <c r="N22" s="98">
        <v>1.7999999999999999E-2</v>
      </c>
      <c r="O22" s="98">
        <v>2.5000000000000001E-4</v>
      </c>
      <c r="P22" s="94">
        <f t="shared" ref="P22:P25" si="1">(ABS(C22)*N22*0.01)+O22</f>
        <v>2.4099999999999998E-3</v>
      </c>
      <c r="Q22" s="94">
        <f t="shared" si="0"/>
        <v>1.2049999999999999E-3</v>
      </c>
      <c r="R22" s="94">
        <f t="shared" ref="R22:R25" si="2">10^-K22</f>
        <v>0.01</v>
      </c>
      <c r="S22" s="71">
        <f t="shared" ref="S22:S28" si="3">R22/SQRT(12)</f>
        <v>2.886751345948129E-3</v>
      </c>
      <c r="T22" s="71">
        <f t="shared" ref="T22:T25" si="4">SQRT(Q22^2+S22^2)</f>
        <v>3.1281557399422005E-3</v>
      </c>
      <c r="U22" s="71">
        <f t="shared" ref="U22:U28" si="5">T22*2</f>
        <v>6.256311479884401E-3</v>
      </c>
      <c r="V22" s="94" t="str">
        <f t="shared" ref="V22:V28" si="6">FIXED(U22,2-(1+INT(LOG10(ABS(U22)))),TRUE)</f>
        <v>0.0063</v>
      </c>
      <c r="W22" s="76">
        <f t="shared" ref="W22:W25" si="7">L22/V22</f>
        <v>11.111111111111112</v>
      </c>
    </row>
    <row r="23" spans="1:23" ht="15" customHeight="1" x14ac:dyDescent="0.25">
      <c r="A23" s="94"/>
      <c r="B23" s="99" t="str">
        <f>T(Datasheet!B23)</f>
        <v/>
      </c>
      <c r="C23" s="100">
        <f>Datasheet!C23</f>
        <v>-12</v>
      </c>
      <c r="D23" s="99" t="str">
        <f>(Datasheet!D23)</f>
        <v>mA</v>
      </c>
      <c r="E23" s="97" t="str">
        <f>IF(Datasheet!E23="*","!","")</f>
        <v/>
      </c>
      <c r="F23" s="102" t="str">
        <f ca="1">IF(CELL("type",Datasheet!F23)="v",FIXED(Datasheet!F23,K23,TRUE),T(Datasheet!F23))</f>
        <v/>
      </c>
      <c r="G23" s="102" t="str">
        <f ca="1">IF(CELL("type",Datasheet!G23)="v",FIXED(Datasheet!G23,K23,TRUE),T(Datasheet!G23))</f>
        <v>N/A</v>
      </c>
      <c r="H23" s="98" t="str">
        <f>"±"&amp;FIXED(Datasheet!L23,K23)&amp;" "&amp;D23</f>
        <v>±0.07 mA</v>
      </c>
      <c r="I23" s="98" t="str">
        <f>V23&amp;" "&amp;D23</f>
        <v>0.0063 mA</v>
      </c>
      <c r="J23" s="103" t="str">
        <f>IF(W23&lt;4,W23,"")</f>
        <v/>
      </c>
      <c r="K23" s="98">
        <v>2</v>
      </c>
      <c r="L23" s="98">
        <f>Datasheet!L23</f>
        <v>7.0000000000000007E-2</v>
      </c>
      <c r="M23" s="94" t="s">
        <v>63</v>
      </c>
      <c r="N23" s="98">
        <v>1.7999999999999999E-2</v>
      </c>
      <c r="O23" s="98">
        <v>2.5000000000000001E-4</v>
      </c>
      <c r="P23" s="94">
        <f t="shared" si="1"/>
        <v>2.4099999999999998E-3</v>
      </c>
      <c r="Q23" s="94">
        <f t="shared" si="0"/>
        <v>1.2049999999999999E-3</v>
      </c>
      <c r="R23" s="94">
        <f t="shared" si="2"/>
        <v>0.01</v>
      </c>
      <c r="S23" s="71">
        <f t="shared" si="3"/>
        <v>2.886751345948129E-3</v>
      </c>
      <c r="T23" s="71">
        <f t="shared" si="4"/>
        <v>3.1281557399422005E-3</v>
      </c>
      <c r="U23" s="71">
        <f t="shared" si="5"/>
        <v>6.256311479884401E-3</v>
      </c>
      <c r="V23" s="94" t="str">
        <f t="shared" si="6"/>
        <v>0.0063</v>
      </c>
      <c r="W23" s="76">
        <f t="shared" si="7"/>
        <v>11.111111111111112</v>
      </c>
    </row>
    <row r="24" spans="1:23" ht="15" customHeight="1" x14ac:dyDescent="0.25">
      <c r="A24" s="94"/>
      <c r="B24" s="99" t="str">
        <f>T(Datasheet!B24)</f>
        <v/>
      </c>
      <c r="C24" s="100">
        <f>Datasheet!C24</f>
        <v>20</v>
      </c>
      <c r="D24" s="99" t="str">
        <f>(Datasheet!D24)</f>
        <v>mA</v>
      </c>
      <c r="E24" s="97" t="str">
        <f>IF(Datasheet!E24="*","!","")</f>
        <v/>
      </c>
      <c r="F24" s="102" t="str">
        <f ca="1">IF(CELL("type",Datasheet!F24)="v",FIXED(Datasheet!F24,K24,TRUE),T(Datasheet!F24))</f>
        <v/>
      </c>
      <c r="G24" s="102" t="str">
        <f ca="1">IF(CELL("type",Datasheet!G24)="v",FIXED(Datasheet!G24,K24,TRUE),T(Datasheet!G24))</f>
        <v>N/A</v>
      </c>
      <c r="H24" s="98" t="str">
        <f>"±"&amp;FIXED(Datasheet!L24,K24)&amp;" "&amp;D24</f>
        <v>±0.09 mA</v>
      </c>
      <c r="I24" s="98" t="str">
        <f>V24&amp;" "&amp;D24</f>
        <v>0.0069 mA</v>
      </c>
      <c r="J24" s="103" t="str">
        <f>IF(W24&lt;4,W24,"")</f>
        <v/>
      </c>
      <c r="K24" s="98">
        <v>2</v>
      </c>
      <c r="L24" s="98">
        <f>Datasheet!L24</f>
        <v>0.09</v>
      </c>
      <c r="M24" s="94" t="s">
        <v>63</v>
      </c>
      <c r="N24" s="98">
        <v>1.7999999999999999E-2</v>
      </c>
      <c r="O24" s="98">
        <v>2.5000000000000001E-4</v>
      </c>
      <c r="P24" s="94">
        <f t="shared" si="1"/>
        <v>3.8500000000000001E-3</v>
      </c>
      <c r="Q24" s="94">
        <f t="shared" si="0"/>
        <v>1.9250000000000001E-3</v>
      </c>
      <c r="R24" s="94">
        <f t="shared" si="2"/>
        <v>0.01</v>
      </c>
      <c r="S24" s="71">
        <f t="shared" si="3"/>
        <v>2.886751345948129E-3</v>
      </c>
      <c r="T24" s="71">
        <f t="shared" si="4"/>
        <v>3.4697202096614843E-3</v>
      </c>
      <c r="U24" s="71">
        <f t="shared" si="5"/>
        <v>6.9394404193229686E-3</v>
      </c>
      <c r="V24" s="94" t="str">
        <f t="shared" si="6"/>
        <v>0.0069</v>
      </c>
      <c r="W24" s="76">
        <f t="shared" si="7"/>
        <v>13.043478260869565</v>
      </c>
    </row>
    <row r="25" spans="1:23" ht="15" customHeight="1" x14ac:dyDescent="0.25">
      <c r="A25" s="94"/>
      <c r="B25" s="99" t="str">
        <f>T(Datasheet!B25)</f>
        <v/>
      </c>
      <c r="C25" s="100">
        <f>Datasheet!C25</f>
        <v>-20</v>
      </c>
      <c r="D25" s="99" t="str">
        <f>(Datasheet!D25)</f>
        <v>mA</v>
      </c>
      <c r="E25" s="97" t="str">
        <f>IF(Datasheet!E25="*","!","")</f>
        <v/>
      </c>
      <c r="F25" s="102" t="str">
        <f ca="1">IF(CELL("type",Datasheet!F25)="v",FIXED(Datasheet!F25,K25,TRUE),T(Datasheet!F25))</f>
        <v/>
      </c>
      <c r="G25" s="102" t="str">
        <f ca="1">IF(CELL("type",Datasheet!G25)="v",FIXED(Datasheet!G25,K25,TRUE),T(Datasheet!G25))</f>
        <v>N/A</v>
      </c>
      <c r="H25" s="98" t="str">
        <f>"±"&amp;FIXED(Datasheet!L25,K25)&amp;" "&amp;D25</f>
        <v>±0.09 mA</v>
      </c>
      <c r="I25" s="98" t="str">
        <f>V25&amp;" "&amp;D25</f>
        <v>0.0069 mA</v>
      </c>
      <c r="J25" s="103" t="str">
        <f>IF(W25&lt;4,W25,"")</f>
        <v/>
      </c>
      <c r="K25" s="98">
        <v>2</v>
      </c>
      <c r="L25" s="98">
        <f>Datasheet!L25</f>
        <v>0.09</v>
      </c>
      <c r="M25" s="94" t="s">
        <v>63</v>
      </c>
      <c r="N25" s="98">
        <v>1.7999999999999999E-2</v>
      </c>
      <c r="O25" s="98">
        <v>2.5000000000000001E-4</v>
      </c>
      <c r="P25" s="94">
        <f t="shared" si="1"/>
        <v>3.8500000000000001E-3</v>
      </c>
      <c r="Q25" s="94">
        <f t="shared" si="0"/>
        <v>1.9250000000000001E-3</v>
      </c>
      <c r="R25" s="94">
        <f t="shared" si="2"/>
        <v>0.01</v>
      </c>
      <c r="S25" s="71">
        <f t="shared" si="3"/>
        <v>2.886751345948129E-3</v>
      </c>
      <c r="T25" s="71">
        <f t="shared" si="4"/>
        <v>3.4697202096614843E-3</v>
      </c>
      <c r="U25" s="71">
        <f t="shared" si="5"/>
        <v>6.9394404193229686E-3</v>
      </c>
      <c r="V25" s="94" t="str">
        <f t="shared" si="6"/>
        <v>0.0069</v>
      </c>
      <c r="W25" s="76">
        <f t="shared" si="7"/>
        <v>13.043478260869565</v>
      </c>
    </row>
    <row r="26" spans="1:23" ht="15" customHeight="1" x14ac:dyDescent="0.25">
      <c r="A26" s="95"/>
      <c r="B26" s="99" t="str">
        <f>T(Datasheet!B26)</f>
        <v/>
      </c>
      <c r="C26" s="100"/>
      <c r="D26" s="99"/>
      <c r="E26" s="97"/>
      <c r="F26" s="102"/>
      <c r="G26" s="102"/>
      <c r="H26" s="98" t="str">
        <f>T(Datasheet!H26)</f>
        <v>± 1.0% of RDG + 5D</v>
      </c>
      <c r="I26" s="98"/>
      <c r="J26" s="98"/>
      <c r="K26" s="95"/>
      <c r="L26" s="95"/>
      <c r="M26" s="98"/>
      <c r="N26" s="98"/>
      <c r="O26" s="98"/>
      <c r="P26" s="71"/>
      <c r="Q26" s="71"/>
      <c r="R26" s="71"/>
      <c r="S26" s="71"/>
      <c r="T26" s="71"/>
      <c r="U26" s="71"/>
      <c r="V26" s="71"/>
      <c r="W26" s="71"/>
    </row>
    <row r="27" spans="1:23" ht="15" customHeight="1" x14ac:dyDescent="0.25">
      <c r="A27" s="94"/>
      <c r="B27" s="99" t="str">
        <f>T(Datasheet!B27)</f>
        <v>99.9 mA</v>
      </c>
      <c r="C27" s="100">
        <f>Datasheet!C27</f>
        <v>100</v>
      </c>
      <c r="D27" s="99" t="str">
        <f>(Datasheet!D27)</f>
        <v>mA</v>
      </c>
      <c r="E27" s="97" t="str">
        <f>IF(Datasheet!E27="*","!","")</f>
        <v/>
      </c>
      <c r="F27" s="102" t="str">
        <f ca="1">IF(CELL("type",Datasheet!F27)="v",FIXED(Datasheet!F27,K27,TRUE),T(Datasheet!F27))</f>
        <v/>
      </c>
      <c r="G27" s="102" t="str">
        <f ca="1">IF(CELL("type",Datasheet!G27)="v",FIXED(Datasheet!G27,K27,TRUE),T(Datasheet!G27))</f>
        <v>N/A</v>
      </c>
      <c r="H27" s="98" t="str">
        <f>"±"&amp;FIXED(Datasheet!L27,K27)&amp;" "&amp;D27</f>
        <v>±1.5 mA</v>
      </c>
      <c r="I27" s="98" t="str">
        <f>V27&amp;" "&amp;D27</f>
        <v>0.061 mA</v>
      </c>
      <c r="J27" s="103" t="str">
        <f>IF(W27&lt;4,W27,"")</f>
        <v/>
      </c>
      <c r="K27" s="98">
        <v>1</v>
      </c>
      <c r="L27" s="98">
        <f>Datasheet!L27</f>
        <v>1.5</v>
      </c>
      <c r="M27" s="94" t="s">
        <v>67</v>
      </c>
      <c r="N27" s="98">
        <v>1.7999999999999999E-2</v>
      </c>
      <c r="O27" s="98">
        <v>2.5000000000000001E-3</v>
      </c>
      <c r="P27" s="94">
        <f t="shared" ref="P27:P28" si="8">(ABS(C27)*N27*0.01)+O27</f>
        <v>2.0499999999999997E-2</v>
      </c>
      <c r="Q27" s="94">
        <f t="shared" si="0"/>
        <v>1.0249999999999999E-2</v>
      </c>
      <c r="R27" s="94">
        <f t="shared" ref="R27:R28" si="9">10^-K27</f>
        <v>0.1</v>
      </c>
      <c r="S27" s="71">
        <f t="shared" si="3"/>
        <v>2.8867513459481291E-2</v>
      </c>
      <c r="T27" s="71">
        <f t="shared" ref="T27:T28" si="10">SQRT(Q27^2+S27^2)</f>
        <v>3.0633247188852401E-2</v>
      </c>
      <c r="U27" s="71">
        <f t="shared" si="5"/>
        <v>6.1266494377704803E-2</v>
      </c>
      <c r="V27" s="94" t="str">
        <f t="shared" si="6"/>
        <v>0.061</v>
      </c>
      <c r="W27" s="76">
        <f t="shared" ref="W27:W28" si="11">L27/V27</f>
        <v>24.590163934426229</v>
      </c>
    </row>
    <row r="28" spans="1:23" ht="15" customHeight="1" x14ac:dyDescent="0.25">
      <c r="A28" s="94"/>
      <c r="B28" s="99" t="str">
        <f>T(Datasheet!B28)</f>
        <v/>
      </c>
      <c r="C28" s="100">
        <f>Datasheet!C28</f>
        <v>-100</v>
      </c>
      <c r="D28" s="99" t="str">
        <f>(Datasheet!D28)</f>
        <v>mA</v>
      </c>
      <c r="E28" s="97" t="str">
        <f>IF(Datasheet!E28="*","!","")</f>
        <v/>
      </c>
      <c r="F28" s="102" t="str">
        <f ca="1">IF(CELL("type",Datasheet!F28)="v",FIXED(Datasheet!F28,K28,TRUE),T(Datasheet!F28))</f>
        <v/>
      </c>
      <c r="G28" s="102" t="str">
        <f ca="1">IF(CELL("type",Datasheet!G28)="v",FIXED(Datasheet!G28,K28,TRUE),T(Datasheet!G28))</f>
        <v>N/A</v>
      </c>
      <c r="H28" s="98" t="str">
        <f>"±"&amp;FIXED(Datasheet!L28,K28)&amp;" "&amp;D28</f>
        <v>±1.5 mA</v>
      </c>
      <c r="I28" s="98" t="str">
        <f>V28&amp;" "&amp;D28</f>
        <v>0.061 mA</v>
      </c>
      <c r="J28" s="103" t="str">
        <f>IF(W28&lt;4,W28,"")</f>
        <v/>
      </c>
      <c r="K28" s="98">
        <v>1</v>
      </c>
      <c r="L28" s="98">
        <f>Datasheet!L28</f>
        <v>1.5</v>
      </c>
      <c r="M28" s="94" t="s">
        <v>67</v>
      </c>
      <c r="N28" s="98">
        <v>1.7999999999999999E-2</v>
      </c>
      <c r="O28" s="98">
        <v>2.5000000000000001E-3</v>
      </c>
      <c r="P28" s="94">
        <f t="shared" si="8"/>
        <v>2.0499999999999997E-2</v>
      </c>
      <c r="Q28" s="94">
        <f t="shared" si="0"/>
        <v>1.0249999999999999E-2</v>
      </c>
      <c r="R28" s="94">
        <f t="shared" si="9"/>
        <v>0.1</v>
      </c>
      <c r="S28" s="71">
        <f t="shared" si="3"/>
        <v>2.8867513459481291E-2</v>
      </c>
      <c r="T28" s="71">
        <f t="shared" si="10"/>
        <v>3.0633247188852401E-2</v>
      </c>
      <c r="U28" s="71">
        <f t="shared" si="5"/>
        <v>6.1266494377704803E-2</v>
      </c>
      <c r="V28" s="94" t="str">
        <f t="shared" si="6"/>
        <v>0.061</v>
      </c>
      <c r="W28" s="76">
        <f t="shared" si="11"/>
        <v>24.590163934426229</v>
      </c>
    </row>
    <row r="29" spans="1:23" ht="15" customHeight="1" x14ac:dyDescent="0.25">
      <c r="A29" s="95"/>
      <c r="B29" s="104" t="s">
        <v>57</v>
      </c>
      <c r="C29" s="105"/>
      <c r="D29" s="99"/>
      <c r="E29" s="97"/>
      <c r="F29" s="106"/>
      <c r="G29" s="106"/>
      <c r="H29" s="106"/>
      <c r="I29" s="98"/>
      <c r="J29" s="103"/>
      <c r="K29" s="98"/>
      <c r="L29" s="95"/>
      <c r="M29" s="98" t="s">
        <v>65</v>
      </c>
      <c r="N29" s="99" t="s">
        <v>66</v>
      </c>
      <c r="O29" s="98"/>
      <c r="P29" s="71"/>
      <c r="Q29" s="71"/>
      <c r="R29" s="71"/>
      <c r="S29" s="71"/>
      <c r="T29" s="71"/>
      <c r="U29" s="71"/>
      <c r="V29" s="71"/>
      <c r="W29" s="71"/>
    </row>
  </sheetData>
  <mergeCells count="17">
    <mergeCell ref="B14:D14"/>
    <mergeCell ref="B15:D15"/>
    <mergeCell ref="B16:D16"/>
    <mergeCell ref="B17:D17"/>
    <mergeCell ref="B19:D19"/>
    <mergeCell ref="B4:D4"/>
    <mergeCell ref="E4:G4"/>
    <mergeCell ref="H4:J4"/>
    <mergeCell ref="B5:D5"/>
    <mergeCell ref="F5:G5"/>
    <mergeCell ref="B8:D8"/>
    <mergeCell ref="B1:D1"/>
    <mergeCell ref="E1:G1"/>
    <mergeCell ref="H1:J1"/>
    <mergeCell ref="B2:D2"/>
    <mergeCell ref="E2:J2"/>
    <mergeCell ref="B3:J3"/>
  </mergeCells>
  <conditionalFormatting sqref="O1">
    <cfRule type="cellIs" dxfId="49" priority="11" operator="greaterThanOrEqual">
      <formula>4</formula>
    </cfRule>
    <cfRule type="cellIs" dxfId="48" priority="12" operator="between">
      <formula>3</formula>
      <formula>4</formula>
    </cfRule>
    <cfRule type="cellIs" dxfId="47" priority="13" operator="between">
      <formula>2</formula>
      <formula>3</formula>
    </cfRule>
    <cfRule type="cellIs" dxfId="46" priority="14" operator="between">
      <formula>1</formula>
      <formula>2</formula>
    </cfRule>
    <cfRule type="cellIs" dxfId="45" priority="15" operator="lessThan">
      <formula>1</formula>
    </cfRule>
  </conditionalFormatting>
  <conditionalFormatting sqref="W20:W25">
    <cfRule type="cellIs" dxfId="24" priority="6" operator="greaterThanOrEqual">
      <formula>4</formula>
    </cfRule>
    <cfRule type="cellIs" dxfId="23" priority="7" operator="between">
      <formula>3</formula>
      <formula>4</formula>
    </cfRule>
    <cfRule type="cellIs" dxfId="22" priority="8" operator="between">
      <formula>2</formula>
      <formula>3</formula>
    </cfRule>
    <cfRule type="cellIs" dxfId="21" priority="9" operator="between">
      <formula>1</formula>
      <formula>2</formula>
    </cfRule>
    <cfRule type="cellIs" dxfId="20" priority="10" operator="lessThan">
      <formula>1</formula>
    </cfRule>
  </conditionalFormatting>
  <conditionalFormatting sqref="W27:W28">
    <cfRule type="cellIs" dxfId="9" priority="1" operator="greaterThanOrEqual">
      <formula>4</formula>
    </cfRule>
    <cfRule type="cellIs" dxfId="8" priority="2" operator="between">
      <formula>3</formula>
      <formula>4</formula>
    </cfRule>
    <cfRule type="cellIs" dxfId="7" priority="3" operator="between">
      <formula>2</formula>
      <formula>3</formula>
    </cfRule>
    <cfRule type="cellIs" dxfId="6" priority="4" operator="between">
      <formula>1</formula>
      <formula>2</formula>
    </cfRule>
    <cfRule type="cellIs" dxfId="5" priority="5" operator="lessThan">
      <formula>1</formula>
    </cfRule>
  </conditionalFormatting>
  <printOptions horizontalCentered="1"/>
  <pageMargins left="0.2" right="0.2" top="0.25" bottom="0.5" header="0.3" footer="0.3"/>
  <pageSetup orientation="portrait" blackAndWhite="1" r:id="rId1"/>
  <headerFooter>
    <oddFooter>&amp;LJMT# 11122C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Datasheet</vt:lpstr>
      <vt:lpstr>Accredited</vt:lpstr>
      <vt:lpstr>CUSTID</vt:lpstr>
      <vt:lpstr>CUSTSN</vt:lpstr>
      <vt:lpstr>DESCRIPTION</vt:lpstr>
      <vt:lpstr>Field_01</vt:lpstr>
      <vt:lpstr>Field_02</vt:lpstr>
      <vt:lpstr>Field_03</vt:lpstr>
      <vt:lpstr>Field_04</vt:lpstr>
      <vt:lpstr>Field_05</vt:lpstr>
      <vt:lpstr>Field_06</vt:lpstr>
      <vt:lpstr>MANUFACTURER</vt:lpstr>
      <vt:lpstr>MODEL</vt:lpstr>
      <vt:lpstr>Accredited!Print_Area</vt:lpstr>
      <vt:lpstr>Datasheet!Print_Area</vt:lpstr>
      <vt:lpstr>Accredited!Print_Titles</vt:lpstr>
      <vt:lpstr>Datasheet!Print_Titles</vt:lpstr>
      <vt:lpstr>PROCEDURE</vt:lpstr>
      <vt:lpstr>SN</vt:lpstr>
      <vt:lpstr>WONUM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Vetter</dc:creator>
  <cp:keywords>11122C</cp:keywords>
  <cp:lastModifiedBy>Scott Prieskop</cp:lastModifiedBy>
  <cp:lastPrinted>2021-08-19T16:28:21Z</cp:lastPrinted>
  <dcterms:created xsi:type="dcterms:W3CDTF">2014-11-06T20:29:54Z</dcterms:created>
  <dcterms:modified xsi:type="dcterms:W3CDTF">2021-08-19T16:36:07Z</dcterms:modified>
</cp:coreProperties>
</file>
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wnloads\"/>
    </mc:Choice>
  </mc:AlternateContent>
  <xr:revisionPtr revIDLastSave="0" documentId="13_ncr:1_{B0EBD029-DBD8-4DC2-8E1E-C8672046F2C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formation" sheetId="9" r:id="rId1"/>
    <sheet name="LabelSheet" sheetId="35" state="hidden" r:id="rId2"/>
    <sheet name="Datasheet" sheetId="44" r:id="rId3"/>
    <sheet name="Accredited" sheetId="45" r:id="rId4"/>
    <sheet name="Buttons And Code" sheetId="18" state="hidden" r:id="rId5"/>
    <sheet name="ChangeLog" sheetId="8" r:id="rId6"/>
  </sheets>
  <functionGroups builtInGroupCount="19"/>
  <definedNames>
    <definedName name="CalibratorOptions" localSheetId="0">Information!$M$12</definedName>
    <definedName name="Comm" localSheetId="0">Information!$P$18</definedName>
    <definedName name="CUSTID">Datasheet!$E$4</definedName>
    <definedName name="DMM" localSheetId="0">Information!$P$14</definedName>
    <definedName name="DMMSelect">Information!$P$9</definedName>
    <definedName name="events_off">Information!$Z$1</definedName>
    <definedName name="IDCUST" localSheetId="0">Information!$H$15</definedName>
    <definedName name="MANUFACTURER">Datasheet!$B$2</definedName>
    <definedName name="_xlnm.Print_Area" localSheetId="3">Accredited!$B$1:$J$92</definedName>
    <definedName name="_xlnm.Print_Area" localSheetId="2">Datasheet!$B$1:$K$92</definedName>
    <definedName name="_xlnm.Print_Area" localSheetId="1">LabelSheet!$I$6:$L$9</definedName>
    <definedName name="_xlnm.Print_Titles" localSheetId="3">Accredited!$1:$6</definedName>
    <definedName name="_xlnm.Print_Titles" localSheetId="2">Datasheet!$1:$6</definedName>
    <definedName name="PROCEDURE">Datasheet!$B$10</definedName>
    <definedName name="SerialNumber" localSheetId="0">Information!$H$14</definedName>
    <definedName name="SN">Datasheet!$B$4</definedName>
    <definedName name="SNCust" localSheetId="0">Information!$H$16</definedName>
    <definedName name="STDSelect" localSheetId="0">Information!$M$9</definedName>
    <definedName name="WorkOrder" localSheetId="0">Information!$H$13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4" l="1"/>
  <c r="E2" i="45" s="1"/>
  <c r="B3" i="44"/>
  <c r="B3" i="45" s="1"/>
  <c r="B2" i="44"/>
  <c r="B2" i="45" s="1"/>
  <c r="B4" i="44"/>
  <c r="B4" i="45" s="1"/>
  <c r="H4" i="44"/>
  <c r="H4" i="45" s="1"/>
  <c r="E4" i="44"/>
  <c r="E4" i="45" s="1"/>
  <c r="H1" i="44"/>
  <c r="H1" i="45" s="1"/>
  <c r="H91" i="45" l="1"/>
  <c r="G91" i="45"/>
  <c r="F91" i="45"/>
  <c r="B91" i="45"/>
  <c r="H90" i="45"/>
  <c r="G90" i="45"/>
  <c r="F90" i="45"/>
  <c r="B90" i="45"/>
  <c r="H89" i="45"/>
  <c r="G89" i="45"/>
  <c r="F89" i="45"/>
  <c r="B89" i="45"/>
  <c r="H88" i="45"/>
  <c r="G88" i="45"/>
  <c r="F88" i="45"/>
  <c r="B88" i="45"/>
  <c r="H87" i="45"/>
  <c r="B87" i="45"/>
  <c r="H86" i="45"/>
  <c r="B86" i="45"/>
  <c r="N85" i="45"/>
  <c r="I85" i="45" s="1"/>
  <c r="G85" i="45"/>
  <c r="F85" i="45"/>
  <c r="D85" i="45"/>
  <c r="C85" i="45"/>
  <c r="B85" i="45"/>
  <c r="N84" i="45"/>
  <c r="I84" i="45" s="1"/>
  <c r="G84" i="45"/>
  <c r="F84" i="45"/>
  <c r="D84" i="45"/>
  <c r="C84" i="45"/>
  <c r="B84" i="45"/>
  <c r="N83" i="45"/>
  <c r="G83" i="45"/>
  <c r="F83" i="45"/>
  <c r="D83" i="45"/>
  <c r="C83" i="45"/>
  <c r="B83" i="45"/>
  <c r="H82" i="45"/>
  <c r="B82" i="45"/>
  <c r="H81" i="45"/>
  <c r="B81" i="45"/>
  <c r="N80" i="45"/>
  <c r="G80" i="45"/>
  <c r="F80" i="45"/>
  <c r="D80" i="45"/>
  <c r="C80" i="45"/>
  <c r="B80" i="45"/>
  <c r="N79" i="45"/>
  <c r="G79" i="45"/>
  <c r="F79" i="45"/>
  <c r="D79" i="45"/>
  <c r="C79" i="45"/>
  <c r="B79" i="45"/>
  <c r="H78" i="45"/>
  <c r="B78" i="45"/>
  <c r="H77" i="45"/>
  <c r="B77" i="45"/>
  <c r="N76" i="45"/>
  <c r="G76" i="45"/>
  <c r="F76" i="45"/>
  <c r="D76" i="45"/>
  <c r="C76" i="45"/>
  <c r="B76" i="45"/>
  <c r="N75" i="45"/>
  <c r="G75" i="45"/>
  <c r="F75" i="45"/>
  <c r="D75" i="45"/>
  <c r="C75" i="45"/>
  <c r="B75" i="45"/>
  <c r="H74" i="45"/>
  <c r="B74" i="45"/>
  <c r="H73" i="45"/>
  <c r="B73" i="45"/>
  <c r="N72" i="45"/>
  <c r="G72" i="45"/>
  <c r="F72" i="45"/>
  <c r="D72" i="45"/>
  <c r="C72" i="45"/>
  <c r="B72" i="45"/>
  <c r="N71" i="45"/>
  <c r="G71" i="45"/>
  <c r="F71" i="45"/>
  <c r="D71" i="45"/>
  <c r="C71" i="45"/>
  <c r="B71" i="45"/>
  <c r="N70" i="45"/>
  <c r="G70" i="45"/>
  <c r="F70" i="45"/>
  <c r="D70" i="45"/>
  <c r="I70" i="45" s="1"/>
  <c r="C70" i="45"/>
  <c r="B70" i="45"/>
  <c r="H69" i="45"/>
  <c r="B69" i="45"/>
  <c r="H68" i="45"/>
  <c r="B68" i="45"/>
  <c r="H67" i="45"/>
  <c r="G67" i="45"/>
  <c r="F67" i="45"/>
  <c r="D67" i="45"/>
  <c r="C67" i="45"/>
  <c r="N66" i="45"/>
  <c r="G66" i="45"/>
  <c r="F66" i="45"/>
  <c r="D66" i="45"/>
  <c r="C66" i="45"/>
  <c r="B66" i="45"/>
  <c r="H65" i="45"/>
  <c r="B65" i="45"/>
  <c r="H64" i="45"/>
  <c r="B64" i="45"/>
  <c r="H63" i="45"/>
  <c r="G63" i="45"/>
  <c r="F63" i="45"/>
  <c r="B63" i="45"/>
  <c r="H62" i="45"/>
  <c r="G62" i="45"/>
  <c r="F62" i="45"/>
  <c r="B62" i="45"/>
  <c r="H61" i="45"/>
  <c r="C61" i="45"/>
  <c r="B61" i="45"/>
  <c r="N60" i="45"/>
  <c r="G60" i="45"/>
  <c r="F60" i="45"/>
  <c r="D60" i="45"/>
  <c r="C60" i="45"/>
  <c r="B60" i="45"/>
  <c r="N59" i="45"/>
  <c r="G59" i="45"/>
  <c r="F59" i="45"/>
  <c r="D59" i="45"/>
  <c r="C59" i="45"/>
  <c r="B59" i="45"/>
  <c r="H58" i="45"/>
  <c r="C58" i="45"/>
  <c r="B58" i="45"/>
  <c r="N57" i="45"/>
  <c r="G57" i="45"/>
  <c r="F57" i="45"/>
  <c r="D57" i="45"/>
  <c r="C57" i="45"/>
  <c r="B57" i="45"/>
  <c r="N56" i="45"/>
  <c r="G56" i="45"/>
  <c r="F56" i="45"/>
  <c r="D56" i="45"/>
  <c r="C56" i="45"/>
  <c r="B56" i="45"/>
  <c r="H55" i="45"/>
  <c r="C55" i="45"/>
  <c r="B55" i="45"/>
  <c r="N54" i="45"/>
  <c r="G54" i="45"/>
  <c r="F54" i="45"/>
  <c r="D54" i="45"/>
  <c r="C54" i="45"/>
  <c r="B54" i="45"/>
  <c r="N53" i="45"/>
  <c r="I53" i="45" s="1"/>
  <c r="G53" i="45"/>
  <c r="F53" i="45"/>
  <c r="D53" i="45"/>
  <c r="C53" i="45"/>
  <c r="B53" i="45"/>
  <c r="N52" i="45"/>
  <c r="G52" i="45"/>
  <c r="F52" i="45"/>
  <c r="D52" i="45"/>
  <c r="H52" i="45" s="1"/>
  <c r="C52" i="45"/>
  <c r="B52" i="45"/>
  <c r="N51" i="45"/>
  <c r="G51" i="45"/>
  <c r="F51" i="45"/>
  <c r="D51" i="45"/>
  <c r="C51" i="45"/>
  <c r="B51" i="45"/>
  <c r="N50" i="45"/>
  <c r="I50" i="45" s="1"/>
  <c r="G50" i="45"/>
  <c r="F50" i="45"/>
  <c r="D50" i="45"/>
  <c r="C50" i="45"/>
  <c r="B50" i="45"/>
  <c r="N49" i="45"/>
  <c r="L49" i="45"/>
  <c r="O49" i="45" s="1"/>
  <c r="J49" i="45" s="1"/>
  <c r="G49" i="45"/>
  <c r="F49" i="45"/>
  <c r="D49" i="45"/>
  <c r="C49" i="45"/>
  <c r="B49" i="45"/>
  <c r="N48" i="45"/>
  <c r="G48" i="45"/>
  <c r="F48" i="45"/>
  <c r="D48" i="45"/>
  <c r="C48" i="45"/>
  <c r="B48" i="45"/>
  <c r="H47" i="45"/>
  <c r="C47" i="45"/>
  <c r="B47" i="45"/>
  <c r="N46" i="45"/>
  <c r="G46" i="45"/>
  <c r="F46" i="45"/>
  <c r="D46" i="45"/>
  <c r="C46" i="45"/>
  <c r="B46" i="45"/>
  <c r="N45" i="45"/>
  <c r="L45" i="45"/>
  <c r="G45" i="45"/>
  <c r="F45" i="45"/>
  <c r="D45" i="45"/>
  <c r="C45" i="45"/>
  <c r="B45" i="45"/>
  <c r="H44" i="45"/>
  <c r="B44" i="45"/>
  <c r="H43" i="45"/>
  <c r="B43" i="45"/>
  <c r="N42" i="45"/>
  <c r="G42" i="45"/>
  <c r="F42" i="45"/>
  <c r="D42" i="45"/>
  <c r="C42" i="45"/>
  <c r="B42" i="45"/>
  <c r="N41" i="45"/>
  <c r="I41" i="45" s="1"/>
  <c r="G41" i="45"/>
  <c r="F41" i="45"/>
  <c r="D41" i="45"/>
  <c r="C41" i="45"/>
  <c r="B41" i="45"/>
  <c r="H40" i="45"/>
  <c r="B40" i="45"/>
  <c r="N39" i="45"/>
  <c r="G39" i="45"/>
  <c r="F39" i="45"/>
  <c r="D39" i="45"/>
  <c r="C39" i="45"/>
  <c r="B39" i="45"/>
  <c r="N38" i="45"/>
  <c r="G38" i="45"/>
  <c r="F38" i="45"/>
  <c r="D38" i="45"/>
  <c r="C38" i="45"/>
  <c r="B38" i="45"/>
  <c r="N37" i="45"/>
  <c r="G37" i="45"/>
  <c r="F37" i="45"/>
  <c r="D37" i="45"/>
  <c r="C37" i="45"/>
  <c r="B37" i="45"/>
  <c r="N36" i="45"/>
  <c r="G36" i="45"/>
  <c r="F36" i="45"/>
  <c r="D36" i="45"/>
  <c r="C36" i="45"/>
  <c r="B36" i="45"/>
  <c r="N35" i="45"/>
  <c r="G35" i="45"/>
  <c r="F35" i="45"/>
  <c r="D35" i="45"/>
  <c r="H35" i="45" s="1"/>
  <c r="C35" i="45"/>
  <c r="B35" i="45"/>
  <c r="N34" i="45"/>
  <c r="G34" i="45"/>
  <c r="F34" i="45"/>
  <c r="D34" i="45"/>
  <c r="C34" i="45"/>
  <c r="B34" i="45"/>
  <c r="N33" i="45"/>
  <c r="G33" i="45"/>
  <c r="F33" i="45"/>
  <c r="D33" i="45"/>
  <c r="C33" i="45"/>
  <c r="B33" i="45"/>
  <c r="N32" i="45"/>
  <c r="G32" i="45"/>
  <c r="F32" i="45"/>
  <c r="D32" i="45"/>
  <c r="I32" i="45" s="1"/>
  <c r="C32" i="45"/>
  <c r="B32" i="45"/>
  <c r="H31" i="45"/>
  <c r="B31" i="45"/>
  <c r="H30" i="45"/>
  <c r="B30" i="45"/>
  <c r="N29" i="45"/>
  <c r="G29" i="45"/>
  <c r="F29" i="45"/>
  <c r="D29" i="45"/>
  <c r="C29" i="45"/>
  <c r="B29" i="45"/>
  <c r="N28" i="45"/>
  <c r="L28" i="45"/>
  <c r="O28" i="45" s="1"/>
  <c r="J28" i="45" s="1"/>
  <c r="G28" i="45"/>
  <c r="F28" i="45"/>
  <c r="D28" i="45"/>
  <c r="H28" i="45" s="1"/>
  <c r="C28" i="45"/>
  <c r="B28" i="45"/>
  <c r="N27" i="45"/>
  <c r="I27" i="45"/>
  <c r="G27" i="45"/>
  <c r="F27" i="45"/>
  <c r="D27" i="45"/>
  <c r="C27" i="45"/>
  <c r="B27" i="45"/>
  <c r="H26" i="45"/>
  <c r="B26" i="45"/>
  <c r="H25" i="45"/>
  <c r="B25" i="45"/>
  <c r="N24" i="45"/>
  <c r="L24" i="45"/>
  <c r="O24" i="45" s="1"/>
  <c r="J24" i="45" s="1"/>
  <c r="G24" i="45"/>
  <c r="F24" i="45"/>
  <c r="D24" i="45"/>
  <c r="I24" i="45" s="1"/>
  <c r="C24" i="45"/>
  <c r="B24" i="45"/>
  <c r="N23" i="45"/>
  <c r="I23" i="45" s="1"/>
  <c r="G23" i="45"/>
  <c r="F23" i="45"/>
  <c r="D23" i="45"/>
  <c r="C23" i="45"/>
  <c r="B23" i="45"/>
  <c r="N22" i="45"/>
  <c r="I22" i="45" s="1"/>
  <c r="G22" i="45"/>
  <c r="F22" i="45"/>
  <c r="D22" i="45"/>
  <c r="C22" i="45"/>
  <c r="B22" i="45"/>
  <c r="N21" i="45"/>
  <c r="L21" i="45"/>
  <c r="G21" i="45"/>
  <c r="F21" i="45"/>
  <c r="D21" i="45"/>
  <c r="H21" i="45" s="1"/>
  <c r="C21" i="45"/>
  <c r="B21" i="45"/>
  <c r="N20" i="45"/>
  <c r="G20" i="45"/>
  <c r="F20" i="45"/>
  <c r="D20" i="45"/>
  <c r="I20" i="45" s="1"/>
  <c r="C20" i="45"/>
  <c r="B20" i="45"/>
  <c r="N19" i="45"/>
  <c r="G19" i="45"/>
  <c r="F19" i="45"/>
  <c r="D19" i="45"/>
  <c r="I19" i="45" s="1"/>
  <c r="C19" i="45"/>
  <c r="B19" i="45"/>
  <c r="N18" i="45"/>
  <c r="L18" i="45"/>
  <c r="O18" i="45" s="1"/>
  <c r="J18" i="45" s="1"/>
  <c r="G18" i="45"/>
  <c r="F18" i="45"/>
  <c r="D18" i="45"/>
  <c r="C18" i="45"/>
  <c r="B18" i="45"/>
  <c r="N17" i="45"/>
  <c r="G17" i="45"/>
  <c r="F17" i="45"/>
  <c r="D17" i="45"/>
  <c r="C17" i="45"/>
  <c r="B17" i="45"/>
  <c r="N16" i="45"/>
  <c r="G16" i="45"/>
  <c r="F16" i="45"/>
  <c r="D16" i="45"/>
  <c r="I16" i="45" s="1"/>
  <c r="C16" i="45"/>
  <c r="B16" i="45"/>
  <c r="H15" i="45"/>
  <c r="B15" i="45"/>
  <c r="N14" i="45"/>
  <c r="G14" i="45"/>
  <c r="F14" i="45"/>
  <c r="D14" i="45"/>
  <c r="H14" i="45" s="1"/>
  <c r="C14" i="45"/>
  <c r="B14" i="45"/>
  <c r="N13" i="45"/>
  <c r="G13" i="45"/>
  <c r="F13" i="45"/>
  <c r="D13" i="45"/>
  <c r="C13" i="45"/>
  <c r="B13" i="45"/>
  <c r="H12" i="45"/>
  <c r="B12" i="45"/>
  <c r="H11" i="45"/>
  <c r="B11" i="45"/>
  <c r="B10" i="45"/>
  <c r="M93" i="44"/>
  <c r="N93" i="44" s="1"/>
  <c r="M91" i="44"/>
  <c r="E91" i="44"/>
  <c r="E91" i="45" s="1"/>
  <c r="M90" i="44"/>
  <c r="E90" i="44"/>
  <c r="E90" i="45" s="1"/>
  <c r="M89" i="44"/>
  <c r="E89" i="44"/>
  <c r="E89" i="45" s="1"/>
  <c r="M88" i="44"/>
  <c r="E88" i="44"/>
  <c r="E88" i="45" s="1"/>
  <c r="L85" i="44"/>
  <c r="H85" i="44" s="1"/>
  <c r="K85" i="44"/>
  <c r="J85" i="44"/>
  <c r="I85" i="44"/>
  <c r="L84" i="44"/>
  <c r="L84" i="45" s="1"/>
  <c r="O84" i="45" s="1"/>
  <c r="J84" i="45" s="1"/>
  <c r="K84" i="44"/>
  <c r="I84" i="44"/>
  <c r="L83" i="44"/>
  <c r="J83" i="44" s="1"/>
  <c r="K83" i="44"/>
  <c r="I83" i="44"/>
  <c r="L80" i="44"/>
  <c r="L80" i="45" s="1"/>
  <c r="O80" i="45" s="1"/>
  <c r="J80" i="45" s="1"/>
  <c r="K80" i="44"/>
  <c r="J80" i="44"/>
  <c r="I80" i="44"/>
  <c r="L79" i="44"/>
  <c r="L79" i="45" s="1"/>
  <c r="O79" i="45" s="1"/>
  <c r="J79" i="45" s="1"/>
  <c r="K79" i="44"/>
  <c r="J79" i="44"/>
  <c r="I79" i="44"/>
  <c r="H79" i="44"/>
  <c r="L76" i="44"/>
  <c r="H76" i="45" s="1"/>
  <c r="K76" i="44"/>
  <c r="J76" i="44"/>
  <c r="I76" i="44"/>
  <c r="H76" i="44"/>
  <c r="M76" i="44" s="1"/>
  <c r="E76" i="44"/>
  <c r="E76" i="45" s="1"/>
  <c r="L75" i="44"/>
  <c r="L75" i="45" s="1"/>
  <c r="K75" i="44"/>
  <c r="J75" i="44"/>
  <c r="I75" i="44"/>
  <c r="L72" i="44"/>
  <c r="L72" i="45" s="1"/>
  <c r="O72" i="45" s="1"/>
  <c r="J72" i="45" s="1"/>
  <c r="K72" i="44"/>
  <c r="J72" i="44"/>
  <c r="I72" i="44"/>
  <c r="L71" i="44"/>
  <c r="L71" i="45" s="1"/>
  <c r="O71" i="45" s="1"/>
  <c r="J71" i="45" s="1"/>
  <c r="K71" i="44"/>
  <c r="I71" i="44"/>
  <c r="L70" i="44"/>
  <c r="L70" i="45" s="1"/>
  <c r="O70" i="45" s="1"/>
  <c r="J70" i="45" s="1"/>
  <c r="K70" i="44"/>
  <c r="I70" i="44"/>
  <c r="H70" i="44"/>
  <c r="M67" i="44"/>
  <c r="E67" i="44"/>
  <c r="E67" i="45" s="1"/>
  <c r="L66" i="44"/>
  <c r="L66" i="45" s="1"/>
  <c r="O66" i="45" s="1"/>
  <c r="J66" i="45" s="1"/>
  <c r="K66" i="44"/>
  <c r="I66" i="44"/>
  <c r="M63" i="44"/>
  <c r="E63" i="44"/>
  <c r="E63" i="45" s="1"/>
  <c r="M62" i="44"/>
  <c r="E62" i="44"/>
  <c r="E62" i="45" s="1"/>
  <c r="L60" i="44"/>
  <c r="L60" i="45" s="1"/>
  <c r="O60" i="45" s="1"/>
  <c r="J60" i="45" s="1"/>
  <c r="K60" i="44"/>
  <c r="J60" i="44"/>
  <c r="I60" i="44"/>
  <c r="L59" i="44"/>
  <c r="J59" i="44" s="1"/>
  <c r="K59" i="44"/>
  <c r="I59" i="44"/>
  <c r="H59" i="44"/>
  <c r="L57" i="44"/>
  <c r="L57" i="45" s="1"/>
  <c r="O57" i="45" s="1"/>
  <c r="J57" i="45" s="1"/>
  <c r="K57" i="44"/>
  <c r="I57" i="44"/>
  <c r="L56" i="44"/>
  <c r="L56" i="45" s="1"/>
  <c r="K56" i="44"/>
  <c r="I56" i="44"/>
  <c r="H56" i="44"/>
  <c r="L54" i="44"/>
  <c r="H54" i="44" s="1"/>
  <c r="K54" i="44"/>
  <c r="J54" i="44"/>
  <c r="I54" i="44"/>
  <c r="L53" i="44"/>
  <c r="L53" i="45" s="1"/>
  <c r="K53" i="44"/>
  <c r="I53" i="44"/>
  <c r="L52" i="44"/>
  <c r="L52" i="45" s="1"/>
  <c r="O52" i="45" s="1"/>
  <c r="J52" i="45" s="1"/>
  <c r="K52" i="44"/>
  <c r="J52" i="44"/>
  <c r="I52" i="44"/>
  <c r="H52" i="44"/>
  <c r="M52" i="44" s="1"/>
  <c r="L51" i="44"/>
  <c r="L51" i="45" s="1"/>
  <c r="O51" i="45" s="1"/>
  <c r="J51" i="45" s="1"/>
  <c r="K51" i="44"/>
  <c r="J51" i="44"/>
  <c r="E51" i="44" s="1"/>
  <c r="E51" i="45" s="1"/>
  <c r="I51" i="44"/>
  <c r="H51" i="44"/>
  <c r="L50" i="44"/>
  <c r="H50" i="44" s="1"/>
  <c r="K50" i="44"/>
  <c r="I50" i="44"/>
  <c r="L49" i="44"/>
  <c r="K49" i="44"/>
  <c r="J49" i="44"/>
  <c r="I49" i="44"/>
  <c r="H49" i="44"/>
  <c r="E49" i="44"/>
  <c r="E49" i="45" s="1"/>
  <c r="L48" i="44"/>
  <c r="L48" i="45" s="1"/>
  <c r="O48" i="45" s="1"/>
  <c r="J48" i="45" s="1"/>
  <c r="K48" i="44"/>
  <c r="I48" i="44"/>
  <c r="L46" i="44"/>
  <c r="L46" i="45" s="1"/>
  <c r="O46" i="45" s="1"/>
  <c r="J46" i="45" s="1"/>
  <c r="K46" i="44"/>
  <c r="I46" i="44"/>
  <c r="L45" i="44"/>
  <c r="K45" i="44"/>
  <c r="J45" i="44"/>
  <c r="I45" i="44"/>
  <c r="H45" i="44"/>
  <c r="M45" i="44" s="1"/>
  <c r="E45" i="44"/>
  <c r="E45" i="45" s="1"/>
  <c r="L42" i="44"/>
  <c r="J42" i="44" s="1"/>
  <c r="K42" i="44"/>
  <c r="I42" i="44"/>
  <c r="L41" i="44"/>
  <c r="L41" i="45" s="1"/>
  <c r="O41" i="45" s="1"/>
  <c r="J41" i="45" s="1"/>
  <c r="K41" i="44"/>
  <c r="J41" i="44"/>
  <c r="I41" i="44"/>
  <c r="H41" i="44"/>
  <c r="M41" i="44" s="1"/>
  <c r="L39" i="44"/>
  <c r="H39" i="45" s="1"/>
  <c r="L38" i="44"/>
  <c r="L38" i="45" s="1"/>
  <c r="J38" i="44"/>
  <c r="H38" i="44"/>
  <c r="M38" i="44" s="1"/>
  <c r="L37" i="44"/>
  <c r="H37" i="45" s="1"/>
  <c r="L36" i="44"/>
  <c r="L36" i="45" s="1"/>
  <c r="O36" i="45" s="1"/>
  <c r="J36" i="45" s="1"/>
  <c r="J36" i="44"/>
  <c r="L35" i="44"/>
  <c r="L35" i="45" s="1"/>
  <c r="O35" i="45" s="1"/>
  <c r="J35" i="45" s="1"/>
  <c r="J35" i="44"/>
  <c r="H35" i="44"/>
  <c r="M35" i="44" s="1"/>
  <c r="L34" i="44"/>
  <c r="L34" i="45" s="1"/>
  <c r="J34" i="44"/>
  <c r="H34" i="44"/>
  <c r="M34" i="44" s="1"/>
  <c r="E34" i="44"/>
  <c r="E34" i="45" s="1"/>
  <c r="L33" i="44"/>
  <c r="J33" i="44" s="1"/>
  <c r="K33" i="44"/>
  <c r="I33" i="44"/>
  <c r="L32" i="44"/>
  <c r="L32" i="45" s="1"/>
  <c r="O32" i="45" s="1"/>
  <c r="J32" i="45" s="1"/>
  <c r="K32" i="44"/>
  <c r="J32" i="44"/>
  <c r="I32" i="44"/>
  <c r="H32" i="44"/>
  <c r="M32" i="44" s="1"/>
  <c r="E32" i="44"/>
  <c r="E32" i="45" s="1"/>
  <c r="L29" i="44"/>
  <c r="L29" i="45" s="1"/>
  <c r="O29" i="45" s="1"/>
  <c r="J29" i="45" s="1"/>
  <c r="K29" i="44"/>
  <c r="I29" i="44"/>
  <c r="L28" i="44"/>
  <c r="K28" i="44"/>
  <c r="J28" i="44"/>
  <c r="I28" i="44"/>
  <c r="H28" i="44"/>
  <c r="E28" i="44" s="1"/>
  <c r="E28" i="45" s="1"/>
  <c r="L27" i="44"/>
  <c r="L27" i="45" s="1"/>
  <c r="K27" i="44"/>
  <c r="J27" i="44"/>
  <c r="I27" i="44"/>
  <c r="L24" i="44"/>
  <c r="K24" i="44"/>
  <c r="J24" i="44"/>
  <c r="I24" i="44"/>
  <c r="H24" i="44"/>
  <c r="M24" i="44" s="1"/>
  <c r="E24" i="44"/>
  <c r="E24" i="45" s="1"/>
  <c r="L23" i="44"/>
  <c r="H23" i="45" s="1"/>
  <c r="K23" i="44"/>
  <c r="I23" i="44"/>
  <c r="H23" i="44"/>
  <c r="L22" i="44"/>
  <c r="H22" i="44" s="1"/>
  <c r="K22" i="44"/>
  <c r="J22" i="44"/>
  <c r="I22" i="44"/>
  <c r="L21" i="44"/>
  <c r="J21" i="44" s="1"/>
  <c r="K21" i="44"/>
  <c r="I21" i="44"/>
  <c r="L20" i="44"/>
  <c r="L20" i="45" s="1"/>
  <c r="O20" i="45" s="1"/>
  <c r="J20" i="45" s="1"/>
  <c r="K20" i="44"/>
  <c r="I20" i="44"/>
  <c r="L19" i="44"/>
  <c r="L19" i="45" s="1"/>
  <c r="O19" i="45" s="1"/>
  <c r="J19" i="45" s="1"/>
  <c r="K19" i="44"/>
  <c r="I19" i="44"/>
  <c r="L18" i="44"/>
  <c r="K18" i="44"/>
  <c r="J18" i="44"/>
  <c r="I18" i="44"/>
  <c r="H18" i="44"/>
  <c r="M18" i="44" s="1"/>
  <c r="E18" i="44"/>
  <c r="E18" i="45" s="1"/>
  <c r="L17" i="44"/>
  <c r="J17" i="44" s="1"/>
  <c r="K17" i="44"/>
  <c r="I17" i="44"/>
  <c r="L16" i="44"/>
  <c r="L16" i="45" s="1"/>
  <c r="O16" i="45" s="1"/>
  <c r="J16" i="45" s="1"/>
  <c r="K16" i="44"/>
  <c r="J16" i="44"/>
  <c r="I16" i="44"/>
  <c r="H16" i="44"/>
  <c r="E16" i="44" s="1"/>
  <c r="E16" i="45" s="1"/>
  <c r="L14" i="44"/>
  <c r="L14" i="45" s="1"/>
  <c r="O14" i="45" s="1"/>
  <c r="J14" i="45" s="1"/>
  <c r="K14" i="44"/>
  <c r="I14" i="44"/>
  <c r="L13" i="44"/>
  <c r="L13" i="45" s="1"/>
  <c r="K13" i="44"/>
  <c r="I13" i="44"/>
  <c r="H13" i="44"/>
  <c r="M54" i="44" l="1"/>
  <c r="E54" i="44"/>
  <c r="E54" i="45" s="1"/>
  <c r="O13" i="45"/>
  <c r="J13" i="45" s="1"/>
  <c r="H21" i="44"/>
  <c r="H84" i="44"/>
  <c r="L54" i="45"/>
  <c r="H14" i="44"/>
  <c r="H29" i="44"/>
  <c r="O56" i="45"/>
  <c r="J56" i="45" s="1"/>
  <c r="L37" i="45"/>
  <c r="L76" i="45"/>
  <c r="O76" i="45" s="1"/>
  <c r="J76" i="45" s="1"/>
  <c r="O38" i="45"/>
  <c r="J38" i="45" s="1"/>
  <c r="J84" i="44"/>
  <c r="E84" i="44" s="1"/>
  <c r="E84" i="45" s="1"/>
  <c r="I37" i="45"/>
  <c r="J14" i="44"/>
  <c r="J29" i="44"/>
  <c r="H57" i="44"/>
  <c r="M13" i="44"/>
  <c r="M28" i="44"/>
  <c r="H54" i="45"/>
  <c r="H39" i="44"/>
  <c r="J50" i="44"/>
  <c r="M50" i="44" s="1"/>
  <c r="J39" i="44"/>
  <c r="J57" i="44"/>
  <c r="H72" i="44"/>
  <c r="I33" i="45"/>
  <c r="I38" i="45"/>
  <c r="H85" i="45"/>
  <c r="O21" i="45"/>
  <c r="J21" i="45" s="1"/>
  <c r="O45" i="45"/>
  <c r="J45" i="45" s="1"/>
  <c r="I71" i="45"/>
  <c r="I79" i="45"/>
  <c r="L85" i="45"/>
  <c r="O85" i="45" s="1"/>
  <c r="J85" i="45" s="1"/>
  <c r="I72" i="45"/>
  <c r="M16" i="44"/>
  <c r="I34" i="45"/>
  <c r="I39" i="45"/>
  <c r="J23" i="44"/>
  <c r="M23" i="44" s="1"/>
  <c r="H33" i="44"/>
  <c r="M33" i="44" s="1"/>
  <c r="H51" i="45"/>
  <c r="H60" i="44"/>
  <c r="M60" i="44" s="1"/>
  <c r="E52" i="44"/>
  <c r="E52" i="45" s="1"/>
  <c r="O75" i="45"/>
  <c r="J75" i="45" s="1"/>
  <c r="I17" i="45"/>
  <c r="I51" i="45"/>
  <c r="H72" i="45"/>
  <c r="L39" i="45"/>
  <c r="O39" i="45" s="1"/>
  <c r="J39" i="45" s="1"/>
  <c r="H41" i="45"/>
  <c r="M51" i="44"/>
  <c r="O34" i="45"/>
  <c r="J34" i="45" s="1"/>
  <c r="I18" i="45"/>
  <c r="I52" i="45"/>
  <c r="J53" i="44"/>
  <c r="M79" i="44"/>
  <c r="E35" i="44"/>
  <c r="E35" i="45" s="1"/>
  <c r="H45" i="45"/>
  <c r="H66" i="44"/>
  <c r="M66" i="44" s="1"/>
  <c r="I48" i="45"/>
  <c r="H19" i="44"/>
  <c r="O53" i="45"/>
  <c r="J53" i="45" s="1"/>
  <c r="L23" i="45"/>
  <c r="O23" i="45" s="1"/>
  <c r="J23" i="45" s="1"/>
  <c r="J46" i="44"/>
  <c r="J66" i="44"/>
  <c r="J19" i="44"/>
  <c r="O27" i="45"/>
  <c r="J27" i="45" s="1"/>
  <c r="H36" i="44"/>
  <c r="M36" i="44" s="1"/>
  <c r="I83" i="45"/>
  <c r="I42" i="45"/>
  <c r="I49" i="45"/>
  <c r="I54" i="45"/>
  <c r="I60" i="45"/>
  <c r="H37" i="44"/>
  <c r="H32" i="45"/>
  <c r="J13" i="44"/>
  <c r="E13" i="44" s="1"/>
  <c r="E13" i="45" s="1"/>
  <c r="J37" i="44"/>
  <c r="M49" i="44"/>
  <c r="J70" i="44"/>
  <c r="M70" i="44" s="1"/>
  <c r="I80" i="45"/>
  <c r="I56" i="45"/>
  <c r="I36" i="45"/>
  <c r="I45" i="45"/>
  <c r="I46" i="45"/>
  <c r="O54" i="45"/>
  <c r="I75" i="45"/>
  <c r="H18" i="45"/>
  <c r="I76" i="45"/>
  <c r="I57" i="45"/>
  <c r="I13" i="45"/>
  <c r="I29" i="45"/>
  <c r="I21" i="45"/>
  <c r="H49" i="45"/>
  <c r="I59" i="45"/>
  <c r="I66" i="45"/>
  <c r="M59" i="44"/>
  <c r="E59" i="44"/>
  <c r="E59" i="45" s="1"/>
  <c r="E22" i="44"/>
  <c r="E22" i="45" s="1"/>
  <c r="M22" i="44"/>
  <c r="M85" i="44"/>
  <c r="E85" i="44"/>
  <c r="E85" i="45" s="1"/>
  <c r="E36" i="44"/>
  <c r="E36" i="45" s="1"/>
  <c r="H75" i="44"/>
  <c r="I35" i="45"/>
  <c r="J56" i="44"/>
  <c r="E56" i="44" s="1"/>
  <c r="E56" i="45" s="1"/>
  <c r="H16" i="45"/>
  <c r="H24" i="45"/>
  <c r="H38" i="45"/>
  <c r="M56" i="44"/>
  <c r="E38" i="44"/>
  <c r="E38" i="45" s="1"/>
  <c r="H46" i="44"/>
  <c r="H70" i="45"/>
  <c r="H83" i="45"/>
  <c r="H46" i="45"/>
  <c r="H59" i="45"/>
  <c r="J8" i="44"/>
  <c r="H8" i="45" s="1"/>
  <c r="E79" i="44"/>
  <c r="E79" i="45" s="1"/>
  <c r="H19" i="45"/>
  <c r="H33" i="45"/>
  <c r="L83" i="45"/>
  <c r="O83" i="45" s="1"/>
  <c r="J83" i="45" s="1"/>
  <c r="L59" i="45"/>
  <c r="O59" i="45" s="1"/>
  <c r="J59" i="45" s="1"/>
  <c r="H79" i="45"/>
  <c r="I28" i="45"/>
  <c r="H13" i="45"/>
  <c r="H42" i="45"/>
  <c r="H56" i="45"/>
  <c r="H48" i="44"/>
  <c r="H22" i="45"/>
  <c r="H29" i="45"/>
  <c r="H36" i="45"/>
  <c r="L33" i="45"/>
  <c r="O33" i="45" s="1"/>
  <c r="J33" i="45" s="1"/>
  <c r="H20" i="44"/>
  <c r="H71" i="44"/>
  <c r="L42" i="45"/>
  <c r="O42" i="45" s="1"/>
  <c r="J42" i="45" s="1"/>
  <c r="H50" i="45"/>
  <c r="H75" i="45"/>
  <c r="O37" i="45"/>
  <c r="J37" i="45" s="1"/>
  <c r="J20" i="44"/>
  <c r="J48" i="44"/>
  <c r="E14" i="44"/>
  <c r="H27" i="44"/>
  <c r="E41" i="44"/>
  <c r="E41" i="45" s="1"/>
  <c r="H53" i="44"/>
  <c r="J71" i="44"/>
  <c r="L22" i="45"/>
  <c r="O22" i="45" s="1"/>
  <c r="J22" i="45" s="1"/>
  <c r="H66" i="45"/>
  <c r="H80" i="44"/>
  <c r="H17" i="45"/>
  <c r="L50" i="45"/>
  <c r="O50" i="45" s="1"/>
  <c r="J50" i="45" s="1"/>
  <c r="E60" i="44"/>
  <c r="E60" i="45" s="1"/>
  <c r="H53" i="45"/>
  <c r="H71" i="45"/>
  <c r="H84" i="45"/>
  <c r="H60" i="45"/>
  <c r="H20" i="45"/>
  <c r="H27" i="45"/>
  <c r="H34" i="45"/>
  <c r="H48" i="45"/>
  <c r="H80" i="45"/>
  <c r="I14" i="45"/>
  <c r="H57" i="45"/>
  <c r="H17" i="44"/>
  <c r="H42" i="44"/>
  <c r="H83" i="44"/>
  <c r="L17" i="45"/>
  <c r="O17" i="45" s="1"/>
  <c r="J17" i="45" s="1"/>
  <c r="M72" i="44" l="1"/>
  <c r="E72" i="44"/>
  <c r="E72" i="45" s="1"/>
  <c r="M39" i="44"/>
  <c r="E39" i="44"/>
  <c r="E39" i="45" s="1"/>
  <c r="E70" i="44"/>
  <c r="E70" i="45" s="1"/>
  <c r="E19" i="44"/>
  <c r="E19" i="45" s="1"/>
  <c r="M19" i="44"/>
  <c r="M14" i="44"/>
  <c r="M37" i="44"/>
  <c r="E37" i="44"/>
  <c r="E37" i="45" s="1"/>
  <c r="M84" i="44"/>
  <c r="E50" i="44"/>
  <c r="E50" i="45" s="1"/>
  <c r="M21" i="44"/>
  <c r="E21" i="44"/>
  <c r="E21" i="45" s="1"/>
  <c r="E33" i="44"/>
  <c r="E33" i="45" s="1"/>
  <c r="E23" i="44"/>
  <c r="E23" i="45" s="1"/>
  <c r="E66" i="44"/>
  <c r="E66" i="45" s="1"/>
  <c r="M57" i="44"/>
  <c r="E57" i="44"/>
  <c r="E57" i="45" s="1"/>
  <c r="M29" i="44"/>
  <c r="E29" i="44"/>
  <c r="E29" i="45" s="1"/>
  <c r="M53" i="44"/>
  <c r="E53" i="44"/>
  <c r="E53" i="45" s="1"/>
  <c r="M80" i="44"/>
  <c r="E80" i="44"/>
  <c r="E80" i="45" s="1"/>
  <c r="M27" i="44"/>
  <c r="E27" i="44"/>
  <c r="E27" i="45" s="1"/>
  <c r="E14" i="45"/>
  <c r="M46" i="44"/>
  <c r="E46" i="44"/>
  <c r="E46" i="45" s="1"/>
  <c r="M20" i="44"/>
  <c r="E20" i="44"/>
  <c r="E20" i="45" s="1"/>
  <c r="E75" i="44"/>
  <c r="E75" i="45" s="1"/>
  <c r="M75" i="44"/>
  <c r="E42" i="44"/>
  <c r="E42" i="45" s="1"/>
  <c r="M42" i="44"/>
  <c r="E17" i="44"/>
  <c r="E17" i="45" s="1"/>
  <c r="M17" i="44"/>
  <c r="M71" i="44"/>
  <c r="E71" i="44"/>
  <c r="E71" i="45" s="1"/>
  <c r="E83" i="44"/>
  <c r="E83" i="45" s="1"/>
  <c r="M83" i="44"/>
  <c r="M48" i="44"/>
  <c r="E48" i="44"/>
  <c r="E48" i="45" s="1"/>
  <c r="G8" i="44" l="1"/>
  <c r="G8" i="45" s="1"/>
  <c r="F8" i="44"/>
  <c r="F8" i="45" s="1"/>
  <c r="F6" i="9" l="1"/>
  <c r="J6" i="35"/>
  <c r="N28" i="9"/>
  <c r="N27" i="9"/>
  <c r="J8" i="35" l="1"/>
  <c r="L7" i="35"/>
  <c r="L8" i="35"/>
  <c r="J9" i="35"/>
  <c r="L9" i="35"/>
  <c r="J7" i="35"/>
</calcChain>
</file>

<file path=xl/sharedStrings.xml><?xml version="1.0" encoding="utf-8"?>
<sst xmlns="http://schemas.openxmlformats.org/spreadsheetml/2006/main" count="389" uniqueCount="187">
  <si>
    <t>Changes and Such</t>
  </si>
  <si>
    <t>Date</t>
  </si>
  <si>
    <t>Changes</t>
  </si>
  <si>
    <t>Start Here</t>
  </si>
  <si>
    <t>Calibrators</t>
  </si>
  <si>
    <t>DMMs</t>
  </si>
  <si>
    <t>Basic Information</t>
  </si>
  <si>
    <t>5500A</t>
  </si>
  <si>
    <t>3458A</t>
  </si>
  <si>
    <t>5502A</t>
  </si>
  <si>
    <t>8508A</t>
  </si>
  <si>
    <t>5520A</t>
  </si>
  <si>
    <t>34401A</t>
  </si>
  <si>
    <t>Calibrator</t>
  </si>
  <si>
    <t>Add Work Order number</t>
  </si>
  <si>
    <t>DMM</t>
  </si>
  <si>
    <t>Add Serial Number</t>
  </si>
  <si>
    <t>Add Cust ID</t>
  </si>
  <si>
    <t>Add Cust S/N</t>
  </si>
  <si>
    <t>When Data is entered and everything looks good.</t>
  </si>
  <si>
    <t>Press the Save Datasheet as PDF. It should use Microsoft Print to PDF to make PDF, automatically.</t>
  </si>
  <si>
    <t>If the PDF is in a different format, like for a Label maker, then go to File Print and change manually to Microsoft Print to PDF</t>
  </si>
  <si>
    <t>It will save the datasheet as a pdf with an work order number and AF to the same dir this file is in.</t>
  </si>
  <si>
    <t>Then it will close the datasheet and exit Excel.</t>
  </si>
  <si>
    <t>You will be able to choose Datasheet or Accredited</t>
  </si>
  <si>
    <t>PDFs will go into the PDFs Folder</t>
  </si>
  <si>
    <t>I.E.</t>
  </si>
  <si>
    <t>In these formats</t>
  </si>
  <si>
    <t>Private Sub Worksheet_SelectionChange(ByVal Target As Excel.Range)</t>
  </si>
  <si>
    <t xml:space="preserve">    Call HandleSelectionChange(Target)</t>
  </si>
  <si>
    <t>End Sub</t>
  </si>
  <si>
    <t>When Done with this tab, you can either delete or just hide it, Hide is recommended in case something happens.</t>
  </si>
  <si>
    <t>mA</t>
  </si>
  <si>
    <t>Calibration Data Sheet</t>
  </si>
  <si>
    <t>Function / Range</t>
  </si>
  <si>
    <t>Out</t>
  </si>
  <si>
    <t>Measured Value</t>
  </si>
  <si>
    <t>Acceptance Limits</t>
  </si>
  <si>
    <t>Test Description</t>
  </si>
  <si>
    <t>Nominal Value</t>
  </si>
  <si>
    <t>*</t>
  </si>
  <si>
    <t>AS FOUND</t>
  </si>
  <si>
    <t>AS LEFT</t>
  </si>
  <si>
    <t>LOW</t>
  </si>
  <si>
    <t>HIGH</t>
  </si>
  <si>
    <t/>
  </si>
  <si>
    <t>Model:</t>
  </si>
  <si>
    <t>TEST RESULT</t>
  </si>
  <si>
    <t>Function/Range</t>
  </si>
  <si>
    <t>Acceptance</t>
  </si>
  <si>
    <t>Uncertainty</t>
  </si>
  <si>
    <t>T.U.R.</t>
  </si>
  <si>
    <t>!</t>
  </si>
  <si>
    <t>As-Found</t>
  </si>
  <si>
    <t>As-Left</t>
  </si>
  <si>
    <t>Limits</t>
  </si>
  <si>
    <t>(K=2)</t>
  </si>
  <si>
    <t>TEST RESULT:</t>
  </si>
  <si>
    <t xml:space="preserve"> </t>
  </si>
  <si>
    <t>End of Report</t>
  </si>
  <si>
    <t>JM Test Systems, LLC.</t>
  </si>
  <si>
    <t>S/N:</t>
  </si>
  <si>
    <t>Make:</t>
  </si>
  <si>
    <t>W/O #</t>
  </si>
  <si>
    <r>
      <t xml:space="preserve">1M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</si>
  <si>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</si>
  <si>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10M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</si>
  <si>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</si>
  <si>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100M </t>
    </r>
    <r>
      <rPr>
        <b/>
        <sz val="5.5"/>
        <color theme="1"/>
        <rFont val="Calibri"/>
        <family val="2"/>
      </rPr>
      <t>Ω =</t>
    </r>
  </si>
  <si>
    <r>
      <t xml:space="preserve">100G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</si>
  <si>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t>Counter</t>
  </si>
  <si>
    <t>GPIB:</t>
  </si>
  <si>
    <t>Counters</t>
  </si>
  <si>
    <t>PM6680</t>
  </si>
  <si>
    <t>PM6681</t>
  </si>
  <si>
    <t>M3001</t>
  </si>
  <si>
    <t>Connected Devices</t>
  </si>
  <si>
    <t>Scope:</t>
  </si>
  <si>
    <t>mV</t>
  </si>
  <si>
    <t>If you have not run the WorkStationSetup Excel file first,</t>
  </si>
  <si>
    <t>then close this workbook. Run that excel sheet, and reopen</t>
  </si>
  <si>
    <t>this.</t>
  </si>
  <si>
    <t>If you have Standards but not connected via GPIB, please enter the model number to the left. Model numbers help to show correct wiring setups.</t>
  </si>
  <si>
    <t>I/A/W MFR Procedure:</t>
  </si>
  <si>
    <t>V</t>
  </si>
  <si>
    <t>Ω</t>
  </si>
  <si>
    <t>kHz</t>
  </si>
  <si>
    <t>Pass</t>
  </si>
  <si>
    <t>Fail</t>
  </si>
  <si>
    <t>Fluke</t>
  </si>
  <si>
    <t>STD ID</t>
  </si>
  <si>
    <t>N/A</t>
  </si>
  <si>
    <t>FLUKE</t>
  </si>
  <si>
    <t>HP</t>
  </si>
  <si>
    <t>Unknown</t>
  </si>
  <si>
    <t>PHILIPS</t>
  </si>
  <si>
    <t>Comm Port</t>
  </si>
  <si>
    <t>Port Select:</t>
  </si>
  <si>
    <t>Note: Comm Port is in construction</t>
  </si>
  <si>
    <t>Hz</t>
  </si>
  <si>
    <t>Blank Cell Check</t>
  </si>
  <si>
    <t>Me.ModelLabel.Caption = make</t>
  </si>
  <si>
    <t>Me.ModelLabel.Caption = Model</t>
  </si>
  <si>
    <t>Me.UnitDescLabel.Caption = UnitDesc</t>
  </si>
  <si>
    <t>Me.CalibratorLabel.Caption = CalibratorModel</t>
  </si>
  <si>
    <t>Me.DMMLabel.Caption = DMMModel</t>
  </si>
  <si>
    <t>Me.CounterLabel.Caption = CounterModel</t>
  </si>
  <si>
    <t>When editing or starting a new Template open PanelForm userform, and change EditStatus = True, if not already</t>
  </si>
  <si>
    <t xml:space="preserve">This will give you 2 buttons Preload and Edit Panel </t>
  </si>
  <si>
    <t>The Edit Panel gives you the buttons you need to edit the code in sections.</t>
  </si>
  <si>
    <t>When you are done change EditStatus = True to EditStatus = False</t>
  </si>
  <si>
    <t>Add This to the Datasheet's Sheet Code or the sheet where you are taking your readings</t>
  </si>
  <si>
    <t>all buttons function as normal now all code for those have been added and optimized.</t>
  </si>
  <si>
    <t xml:space="preserve"> Test Description</t>
  </si>
  <si>
    <t>AC Voltage Tests @ 60 Hz</t>
  </si>
  <si>
    <t>± 0.7% of RDG + 4D</t>
  </si>
  <si>
    <t>400 mV</t>
  </si>
  <si>
    <t> </t>
  </si>
  <si>
    <t>±0.7% of RDG + 2D</t>
  </si>
  <si>
    <t>4 V</t>
  </si>
  <si>
    <t>40 V</t>
  </si>
  <si>
    <t>400 V</t>
  </si>
  <si>
    <t>1000 V</t>
  </si>
  <si>
    <t>Frequency Tests @ 5 Vrms</t>
  </si>
  <si>
    <t>± 0.005% of RDG + 1D</t>
  </si>
  <si>
    <t>199.99 Hz</t>
  </si>
  <si>
    <t>1999.9 Hz</t>
  </si>
  <si>
    <t>19.999 kHz</t>
  </si>
  <si>
    <t>DC Voltage Tests</t>
  </si>
  <si>
    <t>± 0.1% of RDG + 1D</t>
  </si>
  <si>
    <t>DC Millivolt Tests</t>
  </si>
  <si>
    <t>Resistance Tests</t>
  </si>
  <si>
    <t>± 0.2% of RDG + 2D</t>
  </si>
  <si>
    <t>400 Ω</t>
  </si>
  <si>
    <t>±0.2% of RDG + 1D</t>
  </si>
  <si>
    <t>4 kΩ</t>
  </si>
  <si>
    <t>kΩ</t>
  </si>
  <si>
    <t>40 kΩ</t>
  </si>
  <si>
    <t>400 kΩ</t>
  </si>
  <si>
    <t>±0.35% of RDG + 3D</t>
  </si>
  <si>
    <t>4 MΩ</t>
  </si>
  <si>
    <t>MΩ</t>
  </si>
  <si>
    <t>±2.5% of RDG + 3D</t>
  </si>
  <si>
    <t>40 MΩ</t>
  </si>
  <si>
    <t>Continuity Beeper on @ 100 Ω</t>
  </si>
  <si>
    <t>Continuity Beeper off @ 250 Ω</t>
  </si>
  <si>
    <t>Diode Test</t>
  </si>
  <si>
    <t>±2.0% of RDG + 1D</t>
  </si>
  <si>
    <t>Unit outputs 0.2-0.33</t>
  </si>
  <si>
    <t>Source current to meter standard</t>
  </si>
  <si>
    <t>DC Milliamps Tests</t>
  </si>
  <si>
    <t>± 0.05% of RDG + 2D</t>
  </si>
  <si>
    <t>30 mA</t>
  </si>
  <si>
    <t>DC Amps Tests</t>
  </si>
  <si>
    <t>1 A</t>
  </si>
  <si>
    <t>A</t>
  </si>
  <si>
    <t>AC Current Tests @ 60Hz</t>
  </si>
  <si>
    <t>± 1.0% of RDG + 2D</t>
  </si>
  <si>
    <t>Current Source Tests</t>
  </si>
  <si>
    <t>± 0.05% of SPAN</t>
  </si>
  <si>
    <t>Loop Power Tests</t>
  </si>
  <si>
    <t>Open Circuit Voltage</t>
  </si>
  <si>
    <t>Output voltage from source jacks= 29.8-32.0V</t>
  </si>
  <si>
    <t>Toggle in 250Ω HART Resistor = 29.8-32.0V</t>
  </si>
  <si>
    <t>Turn HART off, apply 1kΩ across jacks=23.8-32.0V</t>
  </si>
  <si>
    <t>Current Source</t>
  </si>
  <si>
    <t>Output full current to meter standard=24.5-35.0mA</t>
  </si>
  <si>
    <t>( if &lt; 4:1 )</t>
  </si>
  <si>
    <t>Uncertainties from MET/CAL printout</t>
  </si>
  <si>
    <t>no. of digits</t>
  </si>
  <si>
    <t>tol±</t>
  </si>
  <si>
    <t>Uncert.</t>
  </si>
  <si>
    <t>Fixed</t>
  </si>
  <si>
    <t>Processmeter</t>
  </si>
  <si>
    <t>Added all sheets from Fluke 789 Datasheet and have Preload and Reset Cells modules working</t>
  </si>
  <si>
    <t>Started New updated Fluke 789 template, migrating from old original vba code.</t>
  </si>
  <si>
    <t>Standby</t>
  </si>
  <si>
    <t>Finished all basic datasheet code, next will be setting up the userforms</t>
  </si>
  <si>
    <t>Added all mainform hookup code and datasheet code. Datasheet works with no calibrators now need to test with calibrators</t>
  </si>
  <si>
    <t>fixed accredited tab header information to reference from Datasheet tab</t>
  </si>
  <si>
    <t>Off</t>
  </si>
  <si>
    <t>Fixed 2v diode calibrator output wasn't outputing 2 V</t>
  </si>
  <si>
    <t>fixed ohms calibrator section to set calibrator to 2 wire.</t>
  </si>
  <si>
    <t>hv image shows</t>
  </si>
  <si>
    <t>250 ohm HART Resistor</t>
  </si>
  <si>
    <t>1 kohm Shunt Resistor</t>
  </si>
  <si>
    <t>Fixed auto range with test points for DMM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</si>
</sst>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0###"/>
    <numFmt numFmtId="168" formatCode="0.00000"/>
  </numFmts>
  <fonts count="3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color rgb="FFFF0000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sz val="11"/>
      <name val="Calibri"/>
      <family val="2"/>
      <scheme val="minor"/>
    </font>
    <font>
      <b/>
      <u/>
      <sz val="11"/>
      <color rgb="FF0000FF"/>
      <name val="Calibri"/>
      <family val="2"/>
    </font>
    <font>
      <b/>
      <sz val="10"/>
      <name val="Arial"/>
      <family val="2"/>
    </font>
    <font>
      <b/>
      <sz val="6"/>
      <color theme="1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5.5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indexed="8"/>
      <name val="Calibri"/>
      <family val="2"/>
    </font>
    <font>
      <b/>
      <i/>
      <sz val="10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31" fillId="0" borderId="0" applyNumberFormat="0" applyFill="0" applyBorder="0" applyAlignment="0" applyProtection="0"/>
  </cellStyleXfs>
  <cellXfs count="233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0" fontId="0" fillId="3" borderId="5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5" fillId="0" borderId="0" xfId="0" applyFont="1"/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6" borderId="13" xfId="3" applyFont="1" applyFill="1" applyBorder="1" applyAlignment="1">
      <alignment horizontal="left" vertical="center"/>
    </xf>
    <xf numFmtId="0" fontId="13" fillId="6" borderId="14" xfId="3" applyFont="1" applyFill="1" applyBorder="1" applyAlignment="1">
      <alignment horizontal="left" vertical="center"/>
    </xf>
    <xf numFmtId="0" fontId="18" fillId="0" borderId="0" xfId="1" applyFont="1" applyAlignment="1">
      <alignment vertical="center"/>
    </xf>
    <xf numFmtId="0" fontId="18" fillId="0" borderId="0" xfId="1" applyFont="1" applyAlignment="1">
      <alignment horizontal="center" vertical="center"/>
    </xf>
    <xf numFmtId="0" fontId="19" fillId="0" borderId="19" xfId="1" applyFont="1" applyBorder="1" applyAlignment="1">
      <alignment horizontal="center" vertical="center"/>
    </xf>
    <xf numFmtId="0" fontId="20" fillId="0" borderId="18" xfId="1" applyFont="1" applyBorder="1" applyAlignment="1">
      <alignment horizontal="center" vertical="center"/>
    </xf>
    <xf numFmtId="0" fontId="19" fillId="0" borderId="18" xfId="1" applyFont="1" applyBorder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10" fillId="3" borderId="8" xfId="0" applyFont="1" applyFill="1" applyBorder="1" applyAlignment="1">
      <alignment vertical="center"/>
    </xf>
    <xf numFmtId="0" fontId="5" fillId="3" borderId="0" xfId="0" applyFont="1" applyFill="1" applyAlignment="1">
      <alignment horizontal="right" vertical="center" wrapText="1"/>
    </xf>
    <xf numFmtId="0" fontId="24" fillId="0" borderId="17" xfId="0" applyFont="1" applyBorder="1" applyAlignment="1">
      <alignment horizontal="center" vertical="center"/>
    </xf>
    <xf numFmtId="0" fontId="25" fillId="0" borderId="17" xfId="0" applyFont="1" applyBorder="1" applyAlignment="1">
      <alignment horizontal="right" vertical="center"/>
    </xf>
    <xf numFmtId="0" fontId="0" fillId="3" borderId="0" xfId="0" applyFill="1" applyAlignment="1">
      <alignment horizontal="right"/>
    </xf>
    <xf numFmtId="0" fontId="0" fillId="7" borderId="17" xfId="0" applyFill="1" applyBorder="1" applyAlignment="1">
      <alignment horizontal="center" vertical="top" wrapText="1"/>
    </xf>
    <xf numFmtId="0" fontId="0" fillId="7" borderId="17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/>
    </xf>
    <xf numFmtId="0" fontId="0" fillId="3" borderId="7" xfId="0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vertical="center"/>
    </xf>
    <xf numFmtId="0" fontId="21" fillId="3" borderId="0" xfId="0" applyFont="1" applyFill="1" applyAlignment="1">
      <alignment vertical="top" wrapText="1"/>
    </xf>
    <xf numFmtId="0" fontId="21" fillId="3" borderId="0" xfId="0" applyFont="1" applyFill="1" applyAlignment="1">
      <alignment horizontal="left" vertical="top" wrapText="1"/>
    </xf>
    <xf numFmtId="0" fontId="5" fillId="3" borderId="0" xfId="0" applyFont="1" applyFill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15" xfId="3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27" fillId="0" borderId="0" xfId="0" applyFont="1"/>
    <xf numFmtId="0" fontId="9" fillId="3" borderId="8" xfId="0" applyFont="1" applyFill="1" applyBorder="1" applyAlignment="1">
      <alignment vertical="center"/>
    </xf>
    <xf numFmtId="0" fontId="0" fillId="3" borderId="22" xfId="0" applyFill="1" applyBorder="1"/>
    <xf numFmtId="0" fontId="0" fillId="3" borderId="23" xfId="0" applyFill="1" applyBorder="1"/>
    <xf numFmtId="0" fontId="0" fillId="3" borderId="0" xfId="0" applyFill="1" applyAlignment="1">
      <alignment horizontal="right" vertical="center"/>
    </xf>
    <xf numFmtId="0" fontId="0" fillId="3" borderId="21" xfId="0" applyFill="1" applyBorder="1"/>
    <xf numFmtId="0" fontId="0" fillId="3" borderId="29" xfId="0" applyFill="1" applyBorder="1"/>
    <xf numFmtId="0" fontId="13" fillId="6" borderId="13" xfId="3" applyFont="1" applyFill="1" applyBorder="1" applyAlignment="1">
      <alignment vertical="center"/>
    </xf>
    <xf numFmtId="0" fontId="13" fillId="6" borderId="15" xfId="3" applyFont="1" applyFill="1" applyBorder="1" applyAlignment="1">
      <alignment vertical="center"/>
    </xf>
    <xf numFmtId="166" fontId="13" fillId="0" borderId="0" xfId="0" applyNumberFormat="1" applyFont="1" applyAlignment="1">
      <alignment horizontal="center"/>
    </xf>
    <xf numFmtId="0" fontId="13" fillId="6" borderId="14" xfId="3" applyFont="1" applyFill="1" applyBorder="1" applyAlignment="1">
      <alignment horizontal="right" vertical="center"/>
    </xf>
    <xf numFmtId="165" fontId="13" fillId="3" borderId="16" xfId="3" applyNumberFormat="1" applyFont="1" applyFill="1" applyBorder="1" applyAlignment="1" applyProtection="1">
      <alignment horizontal="center" vertical="center"/>
      <protection locked="0"/>
    </xf>
    <xf numFmtId="164" fontId="13" fillId="3" borderId="16" xfId="3" applyNumberFormat="1" applyFont="1" applyFill="1" applyBorder="1" applyAlignment="1" applyProtection="1">
      <alignment horizontal="center" vertical="center"/>
      <protection locked="0"/>
    </xf>
    <xf numFmtId="2" fontId="13" fillId="3" borderId="16" xfId="3" applyNumberFormat="1" applyFont="1" applyFill="1" applyBorder="1" applyAlignment="1" applyProtection="1">
      <alignment horizontal="center" vertical="center"/>
      <protection locked="0"/>
    </xf>
    <xf numFmtId="1" fontId="13" fillId="3" borderId="16" xfId="3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1" fontId="13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13" fillId="6" borderId="13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0" fontId="13" fillId="6" borderId="13" xfId="3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6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0" fontId="17" fillId="6" borderId="16" xfId="3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3" fillId="6" borderId="16" xfId="3" applyFont="1" applyFill="1" applyBorder="1" applyAlignment="1">
      <alignment horizontal="center" vertical="center"/>
    </xf>
    <xf numFmtId="0" fontId="13" fillId="6" borderId="13" xfId="3" quotePrefix="1" applyFont="1" applyFill="1" applyBorder="1" applyAlignment="1">
      <alignment horizontal="left" vertical="center"/>
    </xf>
    <xf numFmtId="0" fontId="15" fillId="6" borderId="16" xfId="3" applyFont="1" applyFill="1" applyBorder="1" applyAlignment="1">
      <alignment horizontal="center" vertical="center"/>
    </xf>
    <xf numFmtId="165" fontId="13" fillId="6" borderId="13" xfId="3" applyNumberFormat="1" applyFont="1" applyFill="1" applyBorder="1" applyAlignment="1">
      <alignment horizontal="right" vertical="center"/>
    </xf>
    <xf numFmtId="0" fontId="15" fillId="5" borderId="17" xfId="0" applyFont="1" applyFill="1" applyBorder="1" applyAlignment="1">
      <alignment horizontal="center"/>
    </xf>
    <xf numFmtId="164" fontId="13" fillId="6" borderId="13" xfId="3" applyNumberFormat="1" applyFont="1" applyFill="1" applyBorder="1" applyAlignment="1">
      <alignment horizontal="right" vertical="center"/>
    </xf>
    <xf numFmtId="2" fontId="13" fillId="6" borderId="13" xfId="3" applyNumberFormat="1" applyFont="1" applyFill="1" applyBorder="1" applyAlignment="1">
      <alignment horizontal="right" vertical="center"/>
    </xf>
    <xf numFmtId="1" fontId="13" fillId="6" borderId="13" xfId="3" applyNumberFormat="1" applyFont="1" applyFill="1" applyBorder="1" applyAlignment="1">
      <alignment horizontal="right" vertical="center"/>
    </xf>
    <xf numFmtId="0" fontId="31" fillId="0" borderId="0" xfId="4" applyFill="1"/>
    <xf numFmtId="2" fontId="13" fillId="6" borderId="15" xfId="3" applyNumberFormat="1" applyFont="1" applyFill="1" applyBorder="1" applyAlignment="1">
      <alignment horizontal="left" vertical="center"/>
    </xf>
    <xf numFmtId="164" fontId="13" fillId="6" borderId="15" xfId="3" applyNumberFormat="1" applyFont="1" applyFill="1" applyBorder="1" applyAlignment="1">
      <alignment horizontal="left" vertical="center"/>
    </xf>
    <xf numFmtId="165" fontId="13" fillId="6" borderId="15" xfId="3" applyNumberFormat="1" applyFont="1" applyFill="1" applyBorder="1" applyAlignment="1">
      <alignment horizontal="left" vertical="center"/>
    </xf>
    <xf numFmtId="1" fontId="13" fillId="6" borderId="15" xfId="3" applyNumberFormat="1" applyFont="1" applyFill="1" applyBorder="1" applyAlignment="1">
      <alignment horizontal="left" vertical="center"/>
    </xf>
    <xf numFmtId="0" fontId="32" fillId="6" borderId="16" xfId="3" applyFont="1" applyFill="1" applyBorder="1" applyAlignment="1">
      <alignment horizontal="center" vertical="center"/>
    </xf>
    <xf numFmtId="166" fontId="18" fillId="3" borderId="13" xfId="3" applyNumberFormat="1" applyFont="1" applyFill="1" applyBorder="1" applyAlignment="1" applyProtection="1">
      <alignment horizontal="center" vertical="center"/>
      <protection locked="0"/>
    </xf>
    <xf numFmtId="167" fontId="18" fillId="3" borderId="13" xfId="3" applyNumberFormat="1" applyFont="1" applyFill="1" applyBorder="1" applyAlignment="1" applyProtection="1">
      <alignment horizontal="center" vertical="center"/>
      <protection locked="0"/>
    </xf>
    <xf numFmtId="0" fontId="32" fillId="0" borderId="30" xfId="3" applyFont="1" applyBorder="1" applyAlignment="1">
      <alignment horizontal="center" vertical="center"/>
    </xf>
    <xf numFmtId="0" fontId="32" fillId="5" borderId="16" xfId="3" applyFont="1" applyFill="1" applyBorder="1" applyAlignment="1">
      <alignment horizontal="center" vertical="center"/>
    </xf>
    <xf numFmtId="0" fontId="13" fillId="6" borderId="14" xfId="3" quotePrefix="1" applyFont="1" applyFill="1" applyBorder="1" applyAlignment="1">
      <alignment horizontal="right" vertical="center"/>
    </xf>
    <xf numFmtId="18" fontId="13" fillId="6" borderId="13" xfId="3" quotePrefix="1" applyNumberFormat="1" applyFont="1" applyFill="1" applyBorder="1" applyAlignment="1">
      <alignment horizontal="left" vertical="center"/>
    </xf>
    <xf numFmtId="166" fontId="13" fillId="3" borderId="16" xfId="3" applyNumberFormat="1" applyFont="1" applyFill="1" applyBorder="1" applyAlignment="1" applyProtection="1">
      <alignment horizontal="center" vertical="center"/>
      <protection locked="0"/>
    </xf>
    <xf numFmtId="166" fontId="13" fillId="6" borderId="13" xfId="3" applyNumberFormat="1" applyFont="1" applyFill="1" applyBorder="1" applyAlignment="1">
      <alignment horizontal="right" vertical="center"/>
    </xf>
    <xf numFmtId="166" fontId="13" fillId="6" borderId="15" xfId="3" applyNumberFormat="1" applyFont="1" applyFill="1" applyBorder="1" applyAlignment="1">
      <alignment horizontal="left" vertical="center"/>
    </xf>
    <xf numFmtId="0" fontId="32" fillId="0" borderId="0" xfId="3" applyFont="1" applyAlignment="1">
      <alignment horizontal="center" vertical="center"/>
    </xf>
    <xf numFmtId="0" fontId="32" fillId="5" borderId="0" xfId="3" applyFont="1" applyFill="1" applyAlignment="1">
      <alignment horizontal="center" vertical="center"/>
    </xf>
    <xf numFmtId="0" fontId="27" fillId="0" borderId="0" xfId="0" applyFont="1" applyAlignment="1">
      <alignment horizontal="center"/>
    </xf>
    <xf numFmtId="0" fontId="19" fillId="0" borderId="18" xfId="1" applyFont="1" applyBorder="1" applyAlignment="1">
      <alignment horizontal="left" vertical="center"/>
    </xf>
    <xf numFmtId="0" fontId="19" fillId="0" borderId="18" xfId="1" applyFont="1" applyBorder="1" applyAlignment="1">
      <alignment horizontal="right" vertical="center"/>
    </xf>
    <xf numFmtId="0" fontId="29" fillId="0" borderId="0" xfId="0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9" fillId="0" borderId="0" xfId="1" applyFont="1" applyAlignment="1">
      <alignment horizontal="right" vertical="center"/>
    </xf>
    <xf numFmtId="0" fontId="19" fillId="0" borderId="0" xfId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168" fontId="13" fillId="0" borderId="0" xfId="0" applyNumberFormat="1" applyFont="1" applyAlignment="1">
      <alignment horizontal="right" vertical="center"/>
    </xf>
    <xf numFmtId="168" fontId="13" fillId="0" borderId="0" xfId="0" applyNumberFormat="1" applyFont="1" applyAlignment="1">
      <alignment horizontal="center" vertical="center"/>
    </xf>
    <xf numFmtId="0" fontId="27" fillId="0" borderId="0" xfId="0" quotePrefix="1" applyFont="1"/>
    <xf numFmtId="0" fontId="13" fillId="6" borderId="13" xfId="3" applyFont="1" applyFill="1" applyBorder="1" applyAlignment="1">
      <alignment vertical="center"/>
    </xf>
    <xf numFmtId="0" fontId="13" fillId="6" borderId="14" xfId="3" applyFont="1" applyFill="1" applyBorder="1" applyAlignment="1">
      <alignment vertical="center"/>
    </xf>
    <xf numFmtId="0" fontId="13" fillId="6" borderId="15" xfId="3" applyFont="1" applyFill="1" applyBorder="1" applyAlignment="1">
      <alignment vertical="center"/>
    </xf>
    <xf numFmtId="0" fontId="18" fillId="6" borderId="13" xfId="3" applyFont="1" applyFill="1" applyBorder="1" applyAlignment="1">
      <alignment horizontal="center" vertical="center"/>
    </xf>
    <xf numFmtId="0" fontId="18" fillId="6" borderId="15" xfId="3" applyFont="1" applyFill="1" applyBorder="1" applyAlignment="1">
      <alignment horizontal="center" vertical="center"/>
    </xf>
    <xf numFmtId="0" fontId="13" fillId="0" borderId="34" xfId="0" applyFont="1" applyBorder="1" applyAlignment="1">
      <alignment horizontal="center"/>
    </xf>
    <xf numFmtId="0" fontId="13" fillId="0" borderId="35" xfId="0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6" borderId="13" xfId="3" applyFont="1" applyFill="1" applyBorder="1" applyAlignment="1">
      <alignment horizontal="center" vertical="center"/>
    </xf>
    <xf numFmtId="0" fontId="13" fillId="6" borderId="14" xfId="3" applyFont="1" applyFill="1" applyBorder="1" applyAlignment="1">
      <alignment horizontal="center" vertical="center"/>
    </xf>
    <xf numFmtId="0" fontId="13" fillId="6" borderId="15" xfId="3" applyFont="1" applyFill="1" applyBorder="1" applyAlignment="1">
      <alignment horizontal="center" vertical="center"/>
    </xf>
    <xf numFmtId="0" fontId="13" fillId="6" borderId="13" xfId="3" quotePrefix="1" applyFont="1" applyFill="1" applyBorder="1" applyAlignment="1">
      <alignment horizontal="center" vertical="center"/>
    </xf>
    <xf numFmtId="0" fontId="13" fillId="6" borderId="14" xfId="3" quotePrefix="1" applyFont="1" applyFill="1" applyBorder="1" applyAlignment="1">
      <alignment horizontal="center" vertical="center"/>
    </xf>
    <xf numFmtId="0" fontId="13" fillId="6" borderId="15" xfId="3" quotePrefix="1" applyFont="1" applyFill="1" applyBorder="1" applyAlignment="1">
      <alignment horizontal="center" vertical="center"/>
    </xf>
    <xf numFmtId="0" fontId="13" fillId="6" borderId="13" xfId="3" quotePrefix="1" applyFont="1" applyFill="1" applyBorder="1" applyAlignment="1">
      <alignment horizontal="left" vertical="center"/>
    </xf>
    <xf numFmtId="0" fontId="13" fillId="6" borderId="14" xfId="3" quotePrefix="1" applyFont="1" applyFill="1" applyBorder="1" applyAlignment="1">
      <alignment horizontal="left" vertical="center"/>
    </xf>
    <xf numFmtId="0" fontId="13" fillId="6" borderId="15" xfId="3" quotePrefix="1" applyFont="1" applyFill="1" applyBorder="1" applyAlignment="1">
      <alignment horizontal="left" vertical="center"/>
    </xf>
    <xf numFmtId="165" fontId="13" fillId="6" borderId="13" xfId="3" applyNumberFormat="1" applyFont="1" applyFill="1" applyBorder="1" applyAlignment="1">
      <alignment horizontal="center" vertical="center"/>
    </xf>
    <xf numFmtId="165" fontId="13" fillId="6" borderId="14" xfId="3" applyNumberFormat="1" applyFont="1" applyFill="1" applyBorder="1" applyAlignment="1">
      <alignment horizontal="center" vertical="center"/>
    </xf>
    <xf numFmtId="165" fontId="13" fillId="6" borderId="15" xfId="3" applyNumberFormat="1" applyFont="1" applyFill="1" applyBorder="1" applyAlignment="1">
      <alignment horizontal="center" vertical="center"/>
    </xf>
    <xf numFmtId="164" fontId="13" fillId="6" borderId="13" xfId="3" applyNumberFormat="1" applyFont="1" applyFill="1" applyBorder="1" applyAlignment="1">
      <alignment horizontal="center" vertical="center"/>
    </xf>
    <xf numFmtId="164" fontId="13" fillId="6" borderId="14" xfId="3" applyNumberFormat="1" applyFont="1" applyFill="1" applyBorder="1" applyAlignment="1">
      <alignment horizontal="center" vertical="center"/>
    </xf>
    <xf numFmtId="164" fontId="13" fillId="6" borderId="15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8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0" fontId="13" fillId="6" borderId="31" xfId="3" applyFont="1" applyFill="1" applyBorder="1" applyAlignment="1">
      <alignment horizontal="center" vertical="center"/>
    </xf>
    <xf numFmtId="0" fontId="13" fillId="6" borderId="32" xfId="3" applyFont="1" applyFill="1" applyBorder="1" applyAlignment="1">
      <alignment horizontal="center" vertical="center"/>
    </xf>
    <xf numFmtId="0" fontId="13" fillId="6" borderId="33" xfId="3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3" fillId="6" borderId="13" xfId="3" applyFont="1" applyFill="1" applyBorder="1" applyAlignment="1">
      <alignment horizontal="left" vertical="center"/>
    </xf>
    <xf numFmtId="0" fontId="13" fillId="6" borderId="14" xfId="3" applyFont="1" applyFill="1" applyBorder="1" applyAlignment="1">
      <alignment horizontal="left" vertical="center"/>
    </xf>
    <xf numFmtId="0" fontId="13" fillId="6" borderId="15" xfId="3" applyFont="1" applyFill="1" applyBorder="1" applyAlignment="1">
      <alignment horizontal="left" vertical="center"/>
    </xf>
    <xf numFmtId="0" fontId="14" fillId="6" borderId="0" xfId="0" applyFont="1" applyFill="1" applyAlignment="1">
      <alignment horizontal="left"/>
    </xf>
    <xf numFmtId="0" fontId="15" fillId="6" borderId="0" xfId="0" applyFont="1" applyFill="1" applyAlignment="1">
      <alignment horizontal="left"/>
    </xf>
    <xf numFmtId="0" fontId="15" fillId="6" borderId="0" xfId="0" applyFont="1" applyFill="1" applyAlignment="1">
      <alignment horizontal="right"/>
    </xf>
    <xf numFmtId="0" fontId="13" fillId="6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24" xfId="0" applyFill="1" applyBorder="1" applyAlignment="1">
      <alignment horizontal="center" vertical="top" wrapText="1"/>
    </xf>
    <xf numFmtId="0" fontId="0" fillId="7" borderId="25" xfId="0" applyFill="1" applyBorder="1" applyAlignment="1">
      <alignment horizontal="center" vertical="top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2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7" fillId="3" borderId="7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/>
    <xf numFmtId="0" fontId="23" fillId="0" borderId="0" xfId="0" applyFont="1" applyAlignment="1">
      <alignment horizontal="center" vertical="center"/>
    </xf>
    <xf numFmtId="0" fontId="24" fillId="0" borderId="9" xfId="0" applyFont="1" applyBorder="1" applyAlignment="1">
      <alignment horizontal="left" vertical="center"/>
    </xf>
    <xf numFmtId="0" fontId="24" fillId="0" borderId="21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5" borderId="18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right" vertical="center"/>
    </xf>
    <xf numFmtId="0" fontId="19" fillId="0" borderId="19" xfId="1" applyFont="1" applyBorder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0" fontId="15" fillId="5" borderId="0" xfId="0" applyFont="1" applyFill="1" applyAlignment="1">
      <alignment vertical="center"/>
    </xf>
    <xf numFmtId="0" fontId="15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right" vertic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5">
    <cellStyle name="Hyperlink" xfId="4" builtinId="8"/>
    <cellStyle name="Normal" xfId="0" builtinId="0"/>
    <cellStyle name="Normal 2" xfId="1" xr:uid="{00000000-0005-0000-0000-000002000000}"/>
    <cellStyle name="Normal 3" xfId="2" xr:uid="{00000000-0005-0000-0000-000003000000}"/>
    <cellStyle name="Normal_Sheet1_1" xfId="3" xr:uid="{68F3B5BF-88DA-4AA3-94E2-3394BB663A60}"/>
  </cellStyles>
  <dxfs count="45">
    <dxf>
      <alignment horizontal="left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textRotation="0" wrapText="1" justifyLastLine="0" shrinkToFit="0" readingOrder="0"/>
    </dxf>
    <dxf>
      <alignment textRotation="0" wrapText="1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</dxfs>
  <tableStyles count="0" defaultTableStyle="TableStyleMedium2" defaultPivotStyle="PivotStyleLight16"/>
  <colors>
    <mruColors>
      <color rgb="FFFFFF99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133350</xdr:rowOff>
        </xdr:from>
        <xdr:to>
          <xdr:col>16</xdr:col>
          <xdr:colOff>600075</xdr:colOff>
          <xdr:row>20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Comm 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432D23-F6F0-45E4-9B49-2340D8B7BFD8}" name="Table1" displayName="Table1" ref="B6:C14" totalsRowShown="0" headerRowDxfId="3" dataDxfId="2">
  <autoFilter ref="B6:C14" xr:uid="{ED3CFF5E-B5AE-4A5C-BD0D-FA27DF699444}"/>
  <sortState xmlns:xlrd2="http://schemas.microsoft.com/office/spreadsheetml/2017/richdata2" ref="B7:C14">
    <sortCondition descending="1" ref="B6:B14"/>
  </sortState>
  <tableColumns count="2">
    <tableColumn id="1" xr3:uid="{C92F467A-EF7D-4B06-BDC6-E699E956F269}" name="Date" dataDxfId="1"/>
    <tableColumn id="3" xr3:uid="{47107A7A-A236-49C0-B273-8933004DFFBB}" name="Chang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DED6B-30C3-4860-898C-9898B8A27F2F}">
  <sheetPr codeName="wsInfo"/>
  <dimension ref="A1:QQ88"/>
  <sheetViews>
    <sheetView tabSelected="1" zoomScaleNormal="100" workbookViewId="0">
      <selection activeCell="H13" sqref="H13:J13"/>
    </sheetView>
  </sheetViews>
  <sheetFormatPr defaultRowHeight="15" x14ac:dyDescent="0.25"/>
  <cols>
    <col min="1" max="1" width="1.7109375" customWidth="1"/>
    <col min="2" max="2" width="1.140625" customWidth="1"/>
    <col min="3" max="3" width="5.85546875" customWidth="1"/>
    <col min="13" max="13" width="9.140625" customWidth="1"/>
    <col min="14" max="14" width="6.28515625" customWidth="1"/>
    <col min="15" max="15" width="18.5703125" customWidth="1"/>
    <col min="16" max="16" width="13.5703125" customWidth="1"/>
    <col min="22" max="22" width="3" customWidth="1"/>
    <col min="25" max="25" width="14.42578125" customWidth="1"/>
    <col min="26" max="26" width="11" style="8" customWidth="1"/>
    <col min="27" max="27" width="9.140625" customWidth="1"/>
    <col min="28" max="28" width="9.140625" style="8" customWidth="1"/>
    <col min="29" max="31" width="9.140625" customWidth="1"/>
    <col min="34" max="34" width="12.28515625" customWidth="1"/>
    <col min="35" max="35" width="9.140625" style="8"/>
  </cols>
  <sheetData>
    <row r="1" spans="1:459" x14ac:dyDescent="0.25">
      <c r="A1" s="13"/>
      <c r="B1" s="13"/>
      <c r="C1" s="13"/>
      <c r="D1" s="13"/>
      <c r="E1" s="13"/>
      <c r="F1" s="13"/>
      <c r="G1" s="196" t="s">
        <v>3</v>
      </c>
      <c r="H1" s="196"/>
      <c r="I1" s="196"/>
      <c r="J1" s="196"/>
      <c r="K1" s="196"/>
      <c r="L1" s="196"/>
      <c r="M1" s="196"/>
      <c r="N1" s="196"/>
      <c r="O1" s="196"/>
      <c r="P1" s="13"/>
      <c r="Q1" s="13"/>
      <c r="R1" s="13"/>
      <c r="S1" s="13"/>
      <c r="T1" s="13"/>
      <c r="U1" s="13"/>
      <c r="V1" s="13"/>
      <c r="W1" s="13"/>
      <c r="X1" s="13"/>
      <c r="Y1" s="13"/>
      <c r="Z1" s="15" t="b">
        <v>0</v>
      </c>
      <c r="AA1" s="13"/>
      <c r="AB1" s="15"/>
      <c r="AC1" s="13"/>
      <c r="AD1" s="13"/>
      <c r="AE1" s="13"/>
      <c r="AF1" s="13"/>
      <c r="AG1" s="13"/>
      <c r="AH1" s="13"/>
      <c r="AI1" s="13" t="s">
        <v>101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QQ1" t="s">
        <v>180</v>
      </c>
    </row>
    <row r="2" spans="1:459" x14ac:dyDescent="0.25">
      <c r="A2" s="13"/>
      <c r="B2" s="13"/>
      <c r="C2" s="13"/>
      <c r="D2" s="13"/>
      <c r="E2" s="13"/>
      <c r="F2" s="13"/>
      <c r="G2" s="196"/>
      <c r="H2" s="196"/>
      <c r="I2" s="196"/>
      <c r="J2" s="196"/>
      <c r="K2" s="196"/>
      <c r="L2" s="196"/>
      <c r="M2" s="196"/>
      <c r="N2" s="196"/>
      <c r="O2" s="196"/>
      <c r="P2" s="13"/>
      <c r="Q2" s="13"/>
      <c r="R2" s="13"/>
      <c r="S2" s="13"/>
      <c r="T2" s="13"/>
      <c r="U2" s="13"/>
      <c r="V2" s="13"/>
      <c r="W2" s="13"/>
      <c r="X2" s="13"/>
      <c r="Y2" s="13"/>
      <c r="Z2" s="15"/>
      <c r="AA2" s="13"/>
      <c r="AB2" s="15"/>
      <c r="AC2" s="13"/>
      <c r="AD2" s="13"/>
      <c r="AE2" s="13"/>
      <c r="AF2" s="13"/>
      <c r="AG2" s="13"/>
      <c r="AH2" s="13"/>
      <c r="AI2" s="13" t="s">
        <v>102</v>
      </c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</row>
    <row r="3" spans="1:459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20" t="s">
        <v>89</v>
      </c>
      <c r="Y3" s="21">
        <v>789</v>
      </c>
      <c r="Z3" s="15" t="s">
        <v>4</v>
      </c>
      <c r="AA3" s="13"/>
      <c r="AB3" s="15" t="s">
        <v>5</v>
      </c>
      <c r="AC3" s="13"/>
      <c r="AD3" s="13" t="s">
        <v>72</v>
      </c>
      <c r="AE3" s="13"/>
      <c r="AF3" s="13"/>
      <c r="AG3" s="13"/>
      <c r="AH3" s="13"/>
      <c r="AI3" s="13" t="s">
        <v>103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</row>
    <row r="4" spans="1:459" ht="15" customHeight="1" x14ac:dyDescent="0.25">
      <c r="A4" s="13"/>
      <c r="B4" s="13"/>
      <c r="C4" s="13"/>
      <c r="D4" s="9"/>
      <c r="E4" s="10"/>
      <c r="F4" s="173" t="s">
        <v>6</v>
      </c>
      <c r="G4" s="174"/>
      <c r="H4" s="174"/>
      <c r="I4" s="174"/>
      <c r="J4" s="174"/>
      <c r="K4" s="174"/>
      <c r="L4" s="175"/>
      <c r="M4" s="9"/>
      <c r="N4" s="197" t="s">
        <v>76</v>
      </c>
      <c r="O4" s="197"/>
      <c r="P4" s="10"/>
      <c r="Q4" s="10"/>
      <c r="R4" s="11"/>
      <c r="S4" s="13"/>
      <c r="T4" s="13"/>
      <c r="U4" s="13"/>
      <c r="V4" s="13"/>
      <c r="W4" s="169" t="s">
        <v>173</v>
      </c>
      <c r="X4" s="170"/>
      <c r="Y4" s="171"/>
      <c r="Z4" s="15"/>
      <c r="AA4" s="13"/>
      <c r="AB4" s="15"/>
      <c r="AC4" s="13"/>
      <c r="AD4" s="13"/>
      <c r="AE4" s="13"/>
      <c r="AF4" s="13"/>
      <c r="AG4" s="13"/>
      <c r="AH4" s="13"/>
      <c r="AI4" s="13" t="s">
        <v>104</v>
      </c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</row>
    <row r="5" spans="1:459" ht="15" customHeight="1" x14ac:dyDescent="0.25">
      <c r="A5" s="13"/>
      <c r="B5" s="13"/>
      <c r="C5" s="13"/>
      <c r="D5" s="12"/>
      <c r="E5" s="13"/>
      <c r="F5" s="176"/>
      <c r="G5" s="177"/>
      <c r="H5" s="177"/>
      <c r="I5" s="177"/>
      <c r="J5" s="177"/>
      <c r="K5" s="177"/>
      <c r="L5" s="178"/>
      <c r="M5" s="12"/>
      <c r="O5" s="15"/>
      <c r="P5" s="13"/>
      <c r="Q5" s="13"/>
      <c r="R5" s="14"/>
      <c r="S5" s="13"/>
      <c r="T5" s="13"/>
      <c r="U5" s="13"/>
      <c r="V5" s="13"/>
      <c r="W5" s="13"/>
      <c r="X5" s="13"/>
      <c r="Y5" s="13"/>
      <c r="Z5" s="15" t="s">
        <v>7</v>
      </c>
      <c r="AA5" s="13"/>
      <c r="AB5" s="15" t="s">
        <v>8</v>
      </c>
      <c r="AC5" s="13"/>
      <c r="AD5" s="15" t="s">
        <v>73</v>
      </c>
      <c r="AE5" s="13"/>
      <c r="AF5" s="13"/>
      <c r="AG5" s="13"/>
      <c r="AH5" s="13"/>
      <c r="AI5" s="13" t="s">
        <v>105</v>
      </c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</row>
    <row r="6" spans="1:459" s="49" customFormat="1" ht="15" customHeight="1" x14ac:dyDescent="0.25">
      <c r="A6" s="45"/>
      <c r="B6" s="45"/>
      <c r="C6" s="45"/>
      <c r="D6" s="46"/>
      <c r="E6" s="45"/>
      <c r="F6" s="197" t="str">
        <f>X3 &amp; " " &amp; Y3 &amp; " " &amp;W4</f>
        <v>Fluke 789 Processmeter</v>
      </c>
      <c r="G6" s="197"/>
      <c r="H6" s="197"/>
      <c r="I6" s="197"/>
      <c r="J6" s="197"/>
      <c r="K6" s="197"/>
      <c r="L6" s="197"/>
      <c r="M6" s="47"/>
      <c r="N6" s="15"/>
      <c r="O6" s="15"/>
      <c r="P6" s="47"/>
      <c r="Q6" s="47"/>
      <c r="R6" s="48"/>
      <c r="S6" s="45"/>
      <c r="T6" s="45"/>
      <c r="U6" s="45"/>
      <c r="V6" s="45"/>
      <c r="W6" s="45"/>
      <c r="X6" s="45"/>
      <c r="Y6" s="45"/>
      <c r="Z6" s="15" t="s">
        <v>9</v>
      </c>
      <c r="AA6" s="45"/>
      <c r="AB6" s="15" t="s">
        <v>10</v>
      </c>
      <c r="AC6" s="45"/>
      <c r="AD6" s="15" t="s">
        <v>74</v>
      </c>
      <c r="AE6" s="45"/>
      <c r="AF6" s="45"/>
      <c r="AG6" s="45"/>
      <c r="AH6" s="45"/>
      <c r="AI6" s="13" t="s">
        <v>106</v>
      </c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</row>
    <row r="7" spans="1:459" ht="15" customHeight="1" x14ac:dyDescent="0.25">
      <c r="A7" s="13"/>
      <c r="B7" s="13"/>
      <c r="C7" s="13"/>
      <c r="D7" s="12"/>
      <c r="E7" s="13"/>
      <c r="F7" s="13"/>
      <c r="G7" s="13"/>
      <c r="H7" s="172"/>
      <c r="I7" s="172"/>
      <c r="J7" s="172"/>
      <c r="K7" s="13"/>
      <c r="L7" s="172" t="s">
        <v>13</v>
      </c>
      <c r="M7" s="172"/>
      <c r="N7" s="13"/>
      <c r="O7" s="35"/>
      <c r="P7" s="43" t="s">
        <v>15</v>
      </c>
      <c r="Q7" s="13"/>
      <c r="R7" s="14"/>
      <c r="S7" s="186" t="s">
        <v>82</v>
      </c>
      <c r="T7" s="187"/>
      <c r="U7" s="187"/>
      <c r="V7" s="13"/>
      <c r="W7" s="13"/>
      <c r="X7" s="13"/>
      <c r="Y7" s="13"/>
      <c r="Z7" s="15" t="s">
        <v>11</v>
      </c>
      <c r="AA7" s="13"/>
      <c r="AB7" s="15" t="s">
        <v>12</v>
      </c>
      <c r="AC7" s="13"/>
      <c r="AD7" s="15"/>
      <c r="AE7" s="13"/>
      <c r="AF7" s="13"/>
      <c r="AG7" s="13"/>
      <c r="AH7" s="13"/>
      <c r="AI7" s="15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</row>
    <row r="8" spans="1:459" ht="15" customHeight="1" x14ac:dyDescent="0.25">
      <c r="A8" s="13"/>
      <c r="B8" s="13"/>
      <c r="C8" s="13"/>
      <c r="D8" s="12"/>
      <c r="E8" s="13"/>
      <c r="F8" s="13"/>
      <c r="G8" s="13"/>
      <c r="H8" s="13"/>
      <c r="I8" s="13"/>
      <c r="J8" s="13"/>
      <c r="K8" s="13"/>
      <c r="L8" s="35" t="s">
        <v>62</v>
      </c>
      <c r="M8" s="195" t="s">
        <v>92</v>
      </c>
      <c r="N8" s="195"/>
      <c r="O8" s="35" t="s">
        <v>62</v>
      </c>
      <c r="P8" s="44" t="s">
        <v>93</v>
      </c>
      <c r="Q8" s="22"/>
      <c r="R8" s="14"/>
      <c r="S8" s="186"/>
      <c r="T8" s="187"/>
      <c r="U8" s="187"/>
      <c r="V8" s="13"/>
      <c r="W8" s="13"/>
      <c r="X8" s="13"/>
      <c r="Y8" s="13"/>
      <c r="Z8" s="15" t="s">
        <v>75</v>
      </c>
      <c r="AA8" s="13"/>
      <c r="AB8" s="15"/>
      <c r="AC8" s="13"/>
      <c r="AD8" s="13"/>
      <c r="AE8" s="13"/>
      <c r="AF8" s="13"/>
      <c r="AG8" s="13"/>
      <c r="AH8" s="13"/>
      <c r="AI8" s="15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</row>
    <row r="9" spans="1:459" ht="15" customHeight="1" x14ac:dyDescent="0.25">
      <c r="A9" s="13"/>
      <c r="B9" s="13"/>
      <c r="C9" s="13"/>
      <c r="D9" s="12"/>
      <c r="E9" s="13"/>
      <c r="F9" s="54" t="s">
        <v>79</v>
      </c>
      <c r="G9" s="13"/>
      <c r="H9" s="13"/>
      <c r="I9" s="13"/>
      <c r="J9" s="13"/>
      <c r="K9" s="13"/>
      <c r="L9" s="35" t="s">
        <v>46</v>
      </c>
      <c r="M9" s="184" t="s">
        <v>7</v>
      </c>
      <c r="N9" s="185"/>
      <c r="O9" s="35" t="s">
        <v>46</v>
      </c>
      <c r="P9" s="41" t="s">
        <v>8</v>
      </c>
      <c r="Q9" s="50"/>
      <c r="R9" s="14"/>
      <c r="S9" s="186"/>
      <c r="T9" s="187"/>
      <c r="U9" s="187"/>
      <c r="V9" s="13"/>
      <c r="W9" s="13"/>
      <c r="X9" s="13"/>
      <c r="Y9" s="13"/>
      <c r="Z9" s="15"/>
      <c r="AA9" s="13"/>
      <c r="AB9" s="15"/>
      <c r="AC9" s="13"/>
      <c r="AD9" s="13"/>
      <c r="AE9" s="13"/>
      <c r="AF9" s="13"/>
      <c r="AG9" s="13"/>
      <c r="AI9" s="15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</row>
    <row r="10" spans="1:459" ht="15" customHeight="1" x14ac:dyDescent="0.25">
      <c r="A10" s="13"/>
      <c r="B10" s="13"/>
      <c r="C10" s="13"/>
      <c r="D10" s="12"/>
      <c r="E10" s="13"/>
      <c r="F10" s="54" t="s">
        <v>80</v>
      </c>
      <c r="G10" s="13"/>
      <c r="H10" s="13"/>
      <c r="I10" s="13"/>
      <c r="J10" s="13"/>
      <c r="K10" s="13"/>
      <c r="L10" s="35" t="s">
        <v>61</v>
      </c>
      <c r="M10" s="183">
        <v>7345005</v>
      </c>
      <c r="N10" s="183"/>
      <c r="O10" s="35" t="s">
        <v>61</v>
      </c>
      <c r="P10" s="22" t="s">
        <v>94</v>
      </c>
      <c r="Q10" s="16"/>
      <c r="R10" s="14"/>
      <c r="S10" s="186"/>
      <c r="T10" s="187"/>
      <c r="U10" s="187"/>
      <c r="V10" s="13"/>
      <c r="W10" s="13"/>
      <c r="X10" s="13"/>
      <c r="Y10" s="13"/>
      <c r="Z10" s="15"/>
      <c r="AA10" s="13"/>
      <c r="AB10" s="15"/>
      <c r="AC10" s="13"/>
      <c r="AD10" s="13"/>
      <c r="AE10" s="13"/>
      <c r="AF10" s="13"/>
      <c r="AG10" s="13"/>
      <c r="AH10" s="13"/>
      <c r="AI10" s="15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</row>
    <row r="11" spans="1:459" ht="15" customHeight="1" x14ac:dyDescent="0.25">
      <c r="A11" s="13"/>
      <c r="B11" s="13"/>
      <c r="C11" s="13"/>
      <c r="D11" s="12"/>
      <c r="E11" s="13"/>
      <c r="F11" s="54" t="s">
        <v>81</v>
      </c>
      <c r="G11" s="13"/>
      <c r="H11" s="13"/>
      <c r="I11" s="13"/>
      <c r="J11" s="13"/>
      <c r="K11" s="13"/>
      <c r="L11" s="37" t="s">
        <v>71</v>
      </c>
      <c r="M11" s="182"/>
      <c r="N11" s="182"/>
      <c r="O11" s="37" t="s">
        <v>71</v>
      </c>
      <c r="P11" s="53"/>
      <c r="Q11" s="52"/>
      <c r="R11" s="14"/>
      <c r="S11" s="186"/>
      <c r="T11" s="187"/>
      <c r="U11" s="187"/>
      <c r="V11" s="13"/>
      <c r="W11" s="13"/>
      <c r="X11" s="13"/>
      <c r="Y11" s="13"/>
      <c r="Z11" s="15"/>
      <c r="AA11" s="13"/>
      <c r="AB11" s="15"/>
      <c r="AC11" s="13"/>
      <c r="AD11" s="13"/>
      <c r="AE11" s="13"/>
      <c r="AF11" s="13"/>
      <c r="AG11" s="13"/>
      <c r="AH11" s="13"/>
      <c r="AI11" s="15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</row>
    <row r="12" spans="1:459" ht="15" customHeight="1" x14ac:dyDescent="0.25">
      <c r="A12" s="13"/>
      <c r="B12" s="13"/>
      <c r="C12" s="13"/>
      <c r="D12" s="12"/>
      <c r="E12" s="13"/>
      <c r="F12" s="13"/>
      <c r="G12" s="13"/>
      <c r="H12" s="13"/>
      <c r="I12" s="13"/>
      <c r="J12" s="13"/>
      <c r="K12" s="13"/>
      <c r="L12" s="40" t="s">
        <v>77</v>
      </c>
      <c r="M12" s="180">
        <v>0</v>
      </c>
      <c r="N12" s="181"/>
      <c r="O12" s="35" t="s">
        <v>90</v>
      </c>
      <c r="P12" s="180"/>
      <c r="Q12" s="181"/>
      <c r="R12" s="36"/>
      <c r="S12" s="186"/>
      <c r="T12" s="187"/>
      <c r="U12" s="187"/>
      <c r="V12" s="13"/>
      <c r="W12" s="53"/>
      <c r="X12" s="13"/>
      <c r="Y12" s="13"/>
      <c r="Z12" s="15"/>
      <c r="AA12" s="13"/>
      <c r="AB12" s="15"/>
      <c r="AC12" s="13"/>
      <c r="AD12" s="13"/>
      <c r="AE12" s="13"/>
      <c r="AF12" s="13"/>
      <c r="AG12" s="13"/>
      <c r="AH12" s="13"/>
      <c r="AI12" s="15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</row>
    <row r="13" spans="1:459" x14ac:dyDescent="0.25">
      <c r="A13" s="13"/>
      <c r="B13" s="13"/>
      <c r="C13" s="13"/>
      <c r="D13" s="207"/>
      <c r="E13" s="13" t="s">
        <v>14</v>
      </c>
      <c r="F13" s="13"/>
      <c r="G13" s="13"/>
      <c r="H13" s="208"/>
      <c r="I13" s="209"/>
      <c r="J13" s="210"/>
      <c r="K13" s="13"/>
      <c r="L13" s="35" t="s">
        <v>90</v>
      </c>
      <c r="M13" s="180"/>
      <c r="N13" s="181"/>
      <c r="O13" s="13"/>
      <c r="P13" s="15"/>
      <c r="Q13" s="13"/>
      <c r="R13" s="14"/>
      <c r="S13" s="13"/>
      <c r="T13" s="13"/>
      <c r="U13" s="13"/>
      <c r="V13" s="13"/>
      <c r="W13" s="13"/>
      <c r="X13" s="13"/>
      <c r="Y13" s="13"/>
      <c r="Z13" s="15"/>
      <c r="AA13" s="13"/>
      <c r="AB13" s="15"/>
      <c r="AC13" s="13"/>
      <c r="AD13" s="13"/>
      <c r="AE13" s="13"/>
      <c r="AF13" s="13"/>
      <c r="AG13" s="13"/>
      <c r="AH13" s="13"/>
      <c r="AI13" s="15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</row>
    <row r="14" spans="1:459" ht="15" customHeight="1" x14ac:dyDescent="0.25">
      <c r="A14" s="13"/>
      <c r="B14" s="13"/>
      <c r="C14" s="13"/>
      <c r="D14" s="207"/>
      <c r="E14" s="13" t="s">
        <v>16</v>
      </c>
      <c r="F14" s="13"/>
      <c r="G14" s="13"/>
      <c r="H14" s="208"/>
      <c r="I14" s="209"/>
      <c r="J14" s="210"/>
      <c r="K14" s="13"/>
      <c r="L14" s="179" t="s">
        <v>70</v>
      </c>
      <c r="M14" s="179"/>
      <c r="N14" s="51"/>
      <c r="O14" s="51"/>
      <c r="P14" s="188" t="s">
        <v>96</v>
      </c>
      <c r="Q14" s="188"/>
      <c r="R14" s="60"/>
      <c r="S14" s="13"/>
      <c r="T14" s="13"/>
      <c r="U14" s="13"/>
      <c r="V14" s="13"/>
      <c r="W14" s="13"/>
      <c r="X14" s="13"/>
      <c r="Y14" s="13"/>
      <c r="Z14" s="15"/>
      <c r="AA14" s="13"/>
      <c r="AB14" s="15"/>
      <c r="AC14" s="13"/>
      <c r="AD14" s="13"/>
      <c r="AE14" s="13"/>
      <c r="AF14" s="13"/>
      <c r="AG14" s="13"/>
      <c r="AH14" s="13"/>
      <c r="AI14" s="15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</row>
    <row r="15" spans="1:459" ht="15" customHeight="1" x14ac:dyDescent="0.25">
      <c r="A15" s="13"/>
      <c r="B15" s="13"/>
      <c r="C15" s="13"/>
      <c r="D15" s="207"/>
      <c r="E15" s="13" t="s">
        <v>17</v>
      </c>
      <c r="F15" s="13"/>
      <c r="G15" s="13"/>
      <c r="H15" s="208"/>
      <c r="I15" s="209"/>
      <c r="J15" s="210"/>
      <c r="K15" s="13"/>
      <c r="L15" s="35" t="s">
        <v>62</v>
      </c>
      <c r="M15" s="15" t="s">
        <v>95</v>
      </c>
      <c r="N15" s="13"/>
      <c r="O15" s="63" t="s">
        <v>97</v>
      </c>
      <c r="P15" s="211"/>
      <c r="Q15" s="212"/>
      <c r="R15" s="14"/>
      <c r="S15" s="13"/>
      <c r="T15" s="13"/>
      <c r="U15" s="13"/>
      <c r="V15" s="13"/>
      <c r="W15" s="13"/>
      <c r="X15" s="13"/>
      <c r="Y15" s="13"/>
      <c r="Z15" s="15"/>
      <c r="AA15" s="13"/>
      <c r="AB15" s="15"/>
      <c r="AC15" s="13"/>
      <c r="AD15" s="13"/>
      <c r="AE15" s="13"/>
      <c r="AF15" s="13"/>
      <c r="AG15" s="13"/>
      <c r="AH15" s="13"/>
      <c r="AI15" s="15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</row>
    <row r="16" spans="1:459" ht="15" customHeight="1" x14ac:dyDescent="0.25">
      <c r="A16" s="13"/>
      <c r="B16" s="13"/>
      <c r="C16" s="13"/>
      <c r="D16" s="207"/>
      <c r="E16" s="13" t="s">
        <v>18</v>
      </c>
      <c r="F16" s="13"/>
      <c r="G16" s="13"/>
      <c r="H16" s="208" t="s">
        <v>91</v>
      </c>
      <c r="I16" s="209"/>
      <c r="J16" s="210"/>
      <c r="K16" s="13"/>
      <c r="L16" s="35" t="s">
        <v>46</v>
      </c>
      <c r="M16" s="42" t="s">
        <v>74</v>
      </c>
      <c r="N16" s="13"/>
      <c r="O16" s="13"/>
      <c r="P16" s="189"/>
      <c r="Q16" s="190"/>
      <c r="R16" s="14"/>
      <c r="S16" s="203" t="s">
        <v>98</v>
      </c>
      <c r="T16" s="204"/>
      <c r="U16" s="204"/>
      <c r="V16" s="13"/>
      <c r="W16" s="13"/>
      <c r="X16" s="13"/>
      <c r="Y16" s="13"/>
      <c r="Z16" s="15"/>
      <c r="AA16" s="13"/>
      <c r="AB16" s="15"/>
      <c r="AC16" s="13"/>
      <c r="AD16" s="13"/>
      <c r="AE16" s="13"/>
      <c r="AF16" s="13"/>
      <c r="AG16" s="13"/>
      <c r="AH16" s="13"/>
      <c r="AI16" s="15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</row>
    <row r="17" spans="1:71" ht="15" customHeight="1" x14ac:dyDescent="0.25">
      <c r="A17" s="13"/>
      <c r="B17" s="13"/>
      <c r="C17" s="13"/>
      <c r="D17" s="12"/>
      <c r="E17" s="13"/>
      <c r="F17" s="13"/>
      <c r="G17" s="13"/>
      <c r="H17" s="13"/>
      <c r="I17" s="13"/>
      <c r="J17" s="13"/>
      <c r="K17" s="13"/>
      <c r="L17" s="35" t="s">
        <v>61</v>
      </c>
      <c r="M17" s="15">
        <v>0</v>
      </c>
      <c r="N17" s="13"/>
      <c r="O17" s="13"/>
      <c r="P17" s="191"/>
      <c r="Q17" s="192"/>
      <c r="R17" s="14"/>
      <c r="S17" s="203"/>
      <c r="T17" s="204"/>
      <c r="U17" s="204"/>
      <c r="V17" s="13"/>
      <c r="W17" s="13"/>
      <c r="X17" s="13"/>
      <c r="Y17" s="13"/>
      <c r="Z17" s="15"/>
      <c r="AA17" s="13"/>
      <c r="AB17" s="15"/>
      <c r="AC17" s="13"/>
      <c r="AD17" s="13"/>
      <c r="AE17" s="13"/>
      <c r="AF17" s="13"/>
      <c r="AG17" s="13"/>
      <c r="AH17" s="13"/>
      <c r="AI17" s="15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</row>
    <row r="18" spans="1:71" ht="15" customHeight="1" x14ac:dyDescent="0.25">
      <c r="A18" s="13"/>
      <c r="B18" s="13"/>
      <c r="C18" s="13"/>
      <c r="D18" s="12"/>
      <c r="E18" s="13"/>
      <c r="F18" s="13"/>
      <c r="G18" s="13"/>
      <c r="H18" s="13"/>
      <c r="I18" s="13"/>
      <c r="J18" s="13"/>
      <c r="K18" s="13"/>
      <c r="L18" s="37" t="s">
        <v>71</v>
      </c>
      <c r="M18" s="13"/>
      <c r="N18" s="13"/>
      <c r="O18" s="13"/>
      <c r="P18" s="191"/>
      <c r="Q18" s="192"/>
      <c r="R18" s="14"/>
      <c r="S18" s="203"/>
      <c r="T18" s="204"/>
      <c r="U18" s="204"/>
      <c r="V18" s="13"/>
      <c r="W18" s="13"/>
      <c r="X18" s="13"/>
      <c r="Y18" s="13"/>
      <c r="Z18" s="15"/>
      <c r="AA18" s="13"/>
      <c r="AB18" s="15"/>
      <c r="AC18" s="13"/>
      <c r="AD18" s="13"/>
      <c r="AE18" s="13"/>
      <c r="AF18" s="13"/>
      <c r="AG18" s="13"/>
      <c r="AH18" s="13"/>
      <c r="AI18" s="15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</row>
    <row r="19" spans="1:71" ht="15" customHeight="1" x14ac:dyDescent="0.25">
      <c r="A19" s="13"/>
      <c r="B19" s="13"/>
      <c r="C19" s="13"/>
      <c r="D19" s="12"/>
      <c r="E19" s="13"/>
      <c r="F19" s="13"/>
      <c r="G19" s="13"/>
      <c r="H19" s="13"/>
      <c r="I19" s="13"/>
      <c r="J19" s="13"/>
      <c r="K19" s="13"/>
      <c r="L19" s="35" t="s">
        <v>90</v>
      </c>
      <c r="M19" s="180"/>
      <c r="N19" s="181"/>
      <c r="O19" s="13"/>
      <c r="P19" s="193"/>
      <c r="Q19" s="194"/>
      <c r="R19" s="14"/>
      <c r="S19" s="203"/>
      <c r="T19" s="204"/>
      <c r="U19" s="204"/>
      <c r="V19" s="13"/>
      <c r="W19" s="13"/>
      <c r="X19" s="13"/>
      <c r="Y19" s="13"/>
      <c r="Z19" s="15"/>
      <c r="AA19" s="13"/>
      <c r="AB19" s="15"/>
      <c r="AC19" s="13"/>
      <c r="AD19" s="13"/>
      <c r="AE19" s="13"/>
      <c r="AF19" s="13"/>
      <c r="AG19" s="13"/>
      <c r="AH19" s="13"/>
      <c r="AI19" s="15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</row>
    <row r="20" spans="1:71" ht="15" customHeight="1" x14ac:dyDescent="0.25">
      <c r="A20" s="13"/>
      <c r="B20" s="13"/>
      <c r="C20" s="13"/>
      <c r="D20" s="17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61"/>
      <c r="P20" s="13"/>
      <c r="Q20" s="13"/>
      <c r="R20" s="62"/>
      <c r="S20" s="13"/>
      <c r="T20" s="13"/>
      <c r="U20" s="13"/>
      <c r="V20" s="13"/>
      <c r="W20" s="13"/>
      <c r="X20" s="13"/>
      <c r="Y20" s="13"/>
      <c r="Z20" s="15"/>
      <c r="AA20" s="13"/>
      <c r="AB20" s="15"/>
      <c r="AC20" s="13"/>
      <c r="AD20" s="13"/>
      <c r="AE20" s="13"/>
      <c r="AF20" s="13"/>
      <c r="AG20" s="13"/>
      <c r="AH20" s="13"/>
      <c r="AI20" s="15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</row>
    <row r="21" spans="1:71" x14ac:dyDescent="0.25">
      <c r="A21" s="13"/>
      <c r="B21" s="13"/>
      <c r="C21" s="13"/>
      <c r="D21" s="205" t="s">
        <v>19</v>
      </c>
      <c r="E21" s="205"/>
      <c r="F21" s="205"/>
      <c r="G21" s="205"/>
      <c r="H21" s="205"/>
      <c r="I21" s="205"/>
      <c r="J21" s="205"/>
      <c r="K21" s="205"/>
      <c r="L21" s="205"/>
      <c r="M21" s="205"/>
      <c r="N21" s="202"/>
      <c r="O21" s="64"/>
      <c r="P21" s="65"/>
      <c r="Q21" s="62"/>
      <c r="R21" s="13"/>
      <c r="S21" s="13"/>
      <c r="T21" s="13"/>
      <c r="U21" s="13"/>
      <c r="V21" s="13"/>
      <c r="W21" s="13"/>
      <c r="X21" s="13"/>
      <c r="Y21" s="13"/>
      <c r="Z21" s="15"/>
      <c r="AA21" s="13"/>
      <c r="AB21" s="15"/>
      <c r="AC21" s="13"/>
      <c r="AD21" s="13"/>
      <c r="AE21" s="13"/>
      <c r="AF21" s="13"/>
      <c r="AG21" s="13"/>
      <c r="AH21" s="13"/>
      <c r="AI21" s="15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</row>
    <row r="22" spans="1:71" x14ac:dyDescent="0.25">
      <c r="A22" s="13"/>
      <c r="B22" s="13"/>
      <c r="C22" s="13"/>
      <c r="D22" s="202" t="s">
        <v>20</v>
      </c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5"/>
      <c r="AA22" s="13"/>
      <c r="AB22" s="15"/>
      <c r="AC22" s="13"/>
      <c r="AD22" s="13"/>
      <c r="AE22" s="13"/>
      <c r="AF22" s="13"/>
      <c r="AG22" s="13"/>
      <c r="AH22" s="13"/>
      <c r="AI22" s="15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</row>
    <row r="23" spans="1:71" x14ac:dyDescent="0.25">
      <c r="A23" s="13"/>
      <c r="B23" s="13"/>
      <c r="C23" s="13"/>
      <c r="D23" s="13" t="s">
        <v>21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5"/>
      <c r="AA23" s="13"/>
      <c r="AB23" s="15"/>
      <c r="AC23" s="13"/>
      <c r="AD23" s="13"/>
      <c r="AE23" s="13"/>
      <c r="AF23" s="13"/>
      <c r="AG23" s="13"/>
      <c r="AH23" s="13"/>
      <c r="AI23" s="15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</row>
    <row r="24" spans="1:71" x14ac:dyDescent="0.25">
      <c r="A24" s="13"/>
      <c r="B24" s="13"/>
      <c r="C24" s="13"/>
      <c r="D24" s="202" t="s">
        <v>22</v>
      </c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5"/>
      <c r="AA24" s="13"/>
      <c r="AB24" s="15"/>
      <c r="AC24" s="13"/>
      <c r="AD24" s="13"/>
      <c r="AE24" s="13"/>
      <c r="AF24" s="13"/>
      <c r="AG24" s="13"/>
      <c r="AH24" s="13"/>
      <c r="AI24" s="15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</row>
    <row r="25" spans="1:71" x14ac:dyDescent="0.25">
      <c r="A25" s="13"/>
      <c r="B25" s="13"/>
      <c r="C25" s="13"/>
      <c r="D25" s="202" t="s">
        <v>23</v>
      </c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13"/>
      <c r="P25" s="13"/>
      <c r="Q25" s="13"/>
      <c r="R25" s="13"/>
      <c r="S25" s="13"/>
      <c r="T25" s="13"/>
      <c r="U25" s="13"/>
      <c r="V25" s="13"/>
      <c r="X25" s="13"/>
      <c r="Y25" s="13"/>
      <c r="Z25" s="15"/>
      <c r="AA25" s="13"/>
      <c r="AB25" s="15"/>
      <c r="AC25" s="13"/>
      <c r="AD25" s="13"/>
      <c r="AE25" s="13"/>
      <c r="AF25" s="13"/>
      <c r="AG25" s="13"/>
      <c r="AH25" s="13"/>
      <c r="AI25" s="15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</row>
    <row r="26" spans="1:71" ht="21" x14ac:dyDescent="0.35">
      <c r="A26" s="13"/>
      <c r="B26" s="13"/>
      <c r="C26" s="13"/>
      <c r="D26" s="13"/>
      <c r="E26" s="206" t="s">
        <v>24</v>
      </c>
      <c r="F26" s="206"/>
      <c r="G26" s="206"/>
      <c r="H26" s="206"/>
      <c r="I26" s="206"/>
      <c r="J26" s="206"/>
      <c r="K26" s="206"/>
      <c r="L26" s="206"/>
      <c r="M26" s="206"/>
      <c r="N26" s="202"/>
      <c r="O26" s="202"/>
      <c r="P26" s="18"/>
      <c r="Q26" s="13"/>
      <c r="R26" s="13"/>
      <c r="S26" s="13"/>
      <c r="T26" s="13"/>
      <c r="U26" s="13"/>
      <c r="V26" s="13"/>
      <c r="X26" s="13"/>
      <c r="Y26" s="13"/>
      <c r="Z26" s="15"/>
      <c r="AA26" s="13"/>
      <c r="AB26" s="15"/>
      <c r="AC26" s="13"/>
      <c r="AD26" s="13"/>
      <c r="AE26" s="13"/>
      <c r="AF26" s="13"/>
      <c r="AG26" s="13"/>
      <c r="AH26" s="13"/>
      <c r="AI26" s="15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</row>
    <row r="27" spans="1:71" x14ac:dyDescent="0.25">
      <c r="A27" s="13"/>
      <c r="B27" s="13"/>
      <c r="C27" s="13"/>
      <c r="D27" s="13"/>
      <c r="E27" s="13"/>
      <c r="F27" s="13"/>
      <c r="G27" s="13" t="s">
        <v>25</v>
      </c>
      <c r="H27" s="13"/>
      <c r="I27" s="13"/>
      <c r="J27" s="13"/>
      <c r="K27" s="13"/>
      <c r="L27" s="13"/>
      <c r="M27" s="13" t="s">
        <v>26</v>
      </c>
      <c r="N27" s="202" t="str">
        <f>IF(WorkOrder="","123456-001" &amp; " Datasheet.pdf",WorkOrder&amp; " Datasheet.pdf")</f>
        <v>123456-001 Datasheet.pdf</v>
      </c>
      <c r="O27" s="192"/>
      <c r="P27" s="198" t="s">
        <v>27</v>
      </c>
      <c r="Q27" s="199"/>
      <c r="R27" s="13"/>
      <c r="S27" s="13"/>
      <c r="T27" s="13"/>
      <c r="U27" s="13"/>
      <c r="V27" s="13"/>
      <c r="X27" s="13"/>
      <c r="Y27" s="13"/>
      <c r="Z27" s="15"/>
      <c r="AA27" s="13"/>
      <c r="AB27" s="15"/>
      <c r="AC27" s="13"/>
      <c r="AD27" s="13"/>
      <c r="AE27" s="13"/>
      <c r="AF27" s="13"/>
      <c r="AG27" s="13"/>
      <c r="AH27" s="13"/>
      <c r="AI27" s="15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</row>
    <row r="28" spans="1:7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202" t="str">
        <f>IF(WorkOrder="","123456-001" &amp; " Accredited.pdf",WorkOrder&amp; " Accredited.pdf")</f>
        <v>123456-001 Accredited.pdf</v>
      </c>
      <c r="O28" s="192"/>
      <c r="P28" s="200"/>
      <c r="Q28" s="201"/>
      <c r="R28" s="13"/>
      <c r="S28" s="13"/>
      <c r="T28" s="13"/>
      <c r="U28" s="13"/>
      <c r="V28" s="13"/>
      <c r="X28" s="13"/>
      <c r="Y28" s="13"/>
      <c r="Z28" s="15"/>
      <c r="AA28" s="13"/>
      <c r="AB28" s="15"/>
      <c r="AC28" s="13"/>
      <c r="AD28" s="13"/>
      <c r="AE28" s="13"/>
      <c r="AF28" s="13"/>
      <c r="AG28" s="13"/>
      <c r="AH28" s="13"/>
      <c r="AI28" s="15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</row>
    <row r="29" spans="1:7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X29" s="13"/>
      <c r="Y29" s="13"/>
      <c r="Z29" s="15"/>
      <c r="AA29" s="13"/>
      <c r="AB29" s="15"/>
      <c r="AC29" s="13"/>
      <c r="AD29" s="13"/>
      <c r="AE29" s="13"/>
      <c r="AF29" s="13"/>
      <c r="AG29" s="13"/>
      <c r="AH29" s="13"/>
      <c r="AI29" s="15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</row>
    <row r="30" spans="1:7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X30" s="13"/>
      <c r="Y30" s="13"/>
      <c r="Z30" s="15"/>
      <c r="AA30" s="13"/>
      <c r="AB30" s="15"/>
      <c r="AC30" s="13"/>
      <c r="AD30" s="13"/>
      <c r="AE30" s="13"/>
      <c r="AF30" s="13"/>
      <c r="AG30" s="13"/>
      <c r="AH30" s="13"/>
      <c r="AI30" s="15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</row>
    <row r="31" spans="1:7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5"/>
      <c r="AA31" s="13"/>
      <c r="AB31" s="15"/>
      <c r="AC31" s="13"/>
      <c r="AD31" s="13"/>
      <c r="AE31" s="13"/>
      <c r="AF31" s="13"/>
      <c r="AG31" s="13"/>
      <c r="AH31" s="13"/>
      <c r="AI31" s="15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</row>
    <row r="32" spans="1:7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5"/>
      <c r="AA32" s="13"/>
      <c r="AB32" s="15"/>
      <c r="AC32" s="13"/>
      <c r="AD32" s="13"/>
      <c r="AE32" s="13"/>
      <c r="AF32" s="13"/>
      <c r="AG32" s="13"/>
      <c r="AH32" s="13"/>
      <c r="AI32" s="15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</row>
    <row r="33" spans="1:7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5"/>
      <c r="AA33" s="13"/>
      <c r="AB33" s="15"/>
      <c r="AC33" s="13"/>
      <c r="AD33" s="13"/>
      <c r="AE33" s="13"/>
      <c r="AF33" s="13"/>
      <c r="AG33" s="13"/>
      <c r="AH33" s="13"/>
      <c r="AI33" s="15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</row>
    <row r="34" spans="1:7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5"/>
      <c r="AA34" s="13"/>
      <c r="AB34" s="15"/>
      <c r="AC34" s="13"/>
      <c r="AD34" s="13"/>
      <c r="AE34" s="13"/>
      <c r="AF34" s="13"/>
      <c r="AG34" s="13"/>
      <c r="AH34" s="13"/>
      <c r="AI34" s="15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</row>
    <row r="35" spans="1:7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5"/>
      <c r="AA35" s="13"/>
      <c r="AB35" s="15"/>
      <c r="AC35" s="13"/>
      <c r="AD35" s="13"/>
      <c r="AE35" s="13"/>
      <c r="AF35" s="13"/>
      <c r="AG35" s="13"/>
      <c r="AH35" s="13"/>
      <c r="AI35" s="15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</row>
    <row r="36" spans="1:7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5"/>
      <c r="AA36" s="13"/>
      <c r="AB36" s="15"/>
      <c r="AC36" s="13"/>
      <c r="AD36" s="13"/>
      <c r="AE36" s="13"/>
      <c r="AF36" s="13"/>
      <c r="AG36" s="13"/>
      <c r="AH36" s="13"/>
      <c r="AI36" s="15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</row>
    <row r="37" spans="1:7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5"/>
      <c r="AA37" s="13"/>
      <c r="AB37" s="15"/>
      <c r="AC37" s="13"/>
      <c r="AD37" s="13"/>
      <c r="AE37" s="13"/>
      <c r="AF37" s="13"/>
      <c r="AG37" s="13"/>
      <c r="AH37" s="13"/>
      <c r="AI37" s="15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</row>
    <row r="38" spans="1:7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5"/>
      <c r="AA38" s="13"/>
      <c r="AB38" s="15"/>
      <c r="AC38" s="13"/>
      <c r="AD38" s="13"/>
      <c r="AE38" s="13"/>
      <c r="AF38" s="13"/>
      <c r="AG38" s="13"/>
      <c r="AH38" s="13"/>
      <c r="AI38" s="15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</row>
    <row r="39" spans="1:7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5"/>
      <c r="AA39" s="13"/>
      <c r="AB39" s="15"/>
      <c r="AC39" s="13"/>
      <c r="AD39" s="13"/>
      <c r="AE39" s="13"/>
      <c r="AF39" s="13"/>
      <c r="AG39" s="13"/>
      <c r="AH39" s="13"/>
      <c r="AI39" s="15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</row>
    <row r="40" spans="1:7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5"/>
      <c r="AA40" s="13"/>
      <c r="AB40" s="15"/>
      <c r="AC40" s="13"/>
      <c r="AD40" s="13"/>
      <c r="AE40" s="13"/>
      <c r="AF40" s="13"/>
      <c r="AG40" s="13"/>
      <c r="AH40" s="13"/>
      <c r="AI40" s="15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</row>
    <row r="41" spans="1:7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5"/>
      <c r="AA41" s="13"/>
      <c r="AB41" s="15"/>
      <c r="AC41" s="13"/>
      <c r="AD41" s="13"/>
      <c r="AE41" s="13"/>
      <c r="AF41" s="13"/>
      <c r="AG41" s="13"/>
      <c r="AH41" s="13"/>
      <c r="AI41" s="15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</row>
    <row r="42" spans="1:7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5"/>
      <c r="AA42" s="13"/>
      <c r="AB42" s="15"/>
      <c r="AC42" s="13"/>
      <c r="AD42" s="13"/>
      <c r="AE42" s="13"/>
      <c r="AF42" s="13"/>
      <c r="AG42" s="13"/>
      <c r="AH42" s="13"/>
      <c r="AI42" s="15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</row>
    <row r="43" spans="1:7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5"/>
      <c r="AA43" s="13"/>
      <c r="AB43" s="15"/>
      <c r="AC43" s="13"/>
      <c r="AD43" s="13"/>
      <c r="AE43" s="13"/>
      <c r="AF43" s="13"/>
      <c r="AG43" s="13"/>
      <c r="AH43" s="13"/>
      <c r="AI43" s="15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</row>
    <row r="44" spans="1:7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5"/>
      <c r="AA44" s="13"/>
      <c r="AB44" s="15"/>
      <c r="AC44" s="13"/>
      <c r="AD44" s="13"/>
      <c r="AE44" s="13"/>
      <c r="AF44" s="13"/>
      <c r="AG44" s="13"/>
      <c r="AH44" s="13"/>
      <c r="AI44" s="15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</row>
    <row r="45" spans="1:7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5"/>
      <c r="AA45" s="13"/>
      <c r="AB45" s="15"/>
      <c r="AC45" s="13"/>
      <c r="AD45" s="13"/>
      <c r="AE45" s="13"/>
      <c r="AF45" s="13"/>
      <c r="AG45" s="13"/>
      <c r="AH45" s="13"/>
      <c r="AI45" s="15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</row>
    <row r="46" spans="1:7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5"/>
      <c r="AA46" s="13"/>
      <c r="AB46" s="15"/>
      <c r="AC46" s="13"/>
      <c r="AD46" s="13"/>
      <c r="AE46" s="13"/>
      <c r="AF46" s="13"/>
      <c r="AG46" s="13"/>
      <c r="AH46" s="13"/>
      <c r="AI46" s="15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</row>
    <row r="47" spans="1:7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5"/>
      <c r="AA47" s="13"/>
      <c r="AB47" s="15"/>
      <c r="AC47" s="13"/>
      <c r="AD47" s="13"/>
      <c r="AE47" s="13"/>
      <c r="AF47" s="13"/>
      <c r="AG47" s="13"/>
      <c r="AH47" s="13"/>
      <c r="AI47" s="15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</row>
    <row r="48" spans="1:7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5"/>
      <c r="AA48" s="13"/>
      <c r="AB48" s="15"/>
      <c r="AC48" s="13"/>
      <c r="AD48" s="13"/>
      <c r="AE48" s="13"/>
      <c r="AF48" s="13"/>
      <c r="AG48" s="13"/>
      <c r="AH48" s="13"/>
      <c r="AI48" s="15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</row>
    <row r="49" spans="1:7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5"/>
      <c r="AA49" s="13"/>
      <c r="AB49" s="15"/>
      <c r="AC49" s="13"/>
      <c r="AD49" s="13"/>
      <c r="AE49" s="13"/>
      <c r="AF49" s="13"/>
      <c r="AG49" s="13"/>
      <c r="AH49" s="13"/>
      <c r="AI49" s="15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</row>
    <row r="50" spans="1:7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5"/>
      <c r="AA50" s="13"/>
      <c r="AB50" s="15"/>
      <c r="AC50" s="13"/>
      <c r="AD50" s="13"/>
      <c r="AE50" s="13"/>
      <c r="AF50" s="13"/>
      <c r="AG50" s="13"/>
      <c r="AH50" s="13"/>
      <c r="AI50" s="15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</row>
    <row r="51" spans="1:7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5"/>
      <c r="AA51" s="13"/>
      <c r="AB51" s="15"/>
      <c r="AC51" s="13"/>
      <c r="AD51" s="13"/>
      <c r="AE51" s="13"/>
      <c r="AF51" s="13"/>
      <c r="AG51" s="13"/>
      <c r="AH51" s="13"/>
      <c r="AI51" s="15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</row>
    <row r="52" spans="1:7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5"/>
      <c r="AA52" s="13"/>
      <c r="AB52" s="15"/>
      <c r="AC52" s="13"/>
      <c r="AD52" s="13"/>
      <c r="AE52" s="13"/>
      <c r="AF52" s="13"/>
      <c r="AG52" s="13"/>
      <c r="AH52" s="13"/>
      <c r="AI52" s="15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</row>
    <row r="53" spans="1:7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5"/>
      <c r="AA53" s="13"/>
      <c r="AB53" s="15"/>
      <c r="AC53" s="13"/>
      <c r="AD53" s="13"/>
      <c r="AE53" s="13"/>
      <c r="AF53" s="13"/>
      <c r="AG53" s="13"/>
      <c r="AH53" s="13"/>
      <c r="AI53" s="15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</row>
    <row r="54" spans="1:7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5"/>
      <c r="AA54" s="13"/>
      <c r="AB54" s="15"/>
      <c r="AC54" s="13"/>
      <c r="AD54" s="13"/>
      <c r="AE54" s="13"/>
      <c r="AF54" s="13"/>
      <c r="AG54" s="13"/>
      <c r="AH54" s="13"/>
      <c r="AI54" s="15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</row>
    <row r="55" spans="1:7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5"/>
      <c r="AA55" s="13"/>
      <c r="AB55" s="15"/>
      <c r="AC55" s="13"/>
      <c r="AD55" s="13"/>
      <c r="AE55" s="13"/>
      <c r="AF55" s="13"/>
      <c r="AG55" s="13"/>
      <c r="AH55" s="13"/>
      <c r="AI55" s="15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</row>
    <row r="56" spans="1:7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5"/>
      <c r="AA56" s="13"/>
      <c r="AB56" s="15"/>
      <c r="AC56" s="13"/>
      <c r="AD56" s="13"/>
      <c r="AE56" s="13"/>
      <c r="AF56" s="13"/>
      <c r="AG56" s="13"/>
      <c r="AH56" s="13"/>
      <c r="AI56" s="15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</row>
    <row r="57" spans="1:7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5"/>
      <c r="AA57" s="13"/>
      <c r="AB57" s="15"/>
      <c r="AC57" s="13"/>
      <c r="AD57" s="13"/>
      <c r="AE57" s="13"/>
      <c r="AF57" s="13"/>
      <c r="AG57" s="13"/>
      <c r="AH57" s="13"/>
      <c r="AI57" s="15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</row>
    <row r="58" spans="1:7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5"/>
      <c r="AA58" s="13"/>
      <c r="AB58" s="15"/>
      <c r="AC58" s="13"/>
      <c r="AD58" s="13"/>
      <c r="AE58" s="13"/>
      <c r="AF58" s="13"/>
      <c r="AG58" s="13"/>
      <c r="AH58" s="13"/>
      <c r="AI58" s="15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</row>
    <row r="59" spans="1:7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5"/>
      <c r="AA59" s="13"/>
      <c r="AB59" s="15"/>
      <c r="AC59" s="13"/>
      <c r="AD59" s="13"/>
      <c r="AE59" s="13"/>
      <c r="AF59" s="13"/>
      <c r="AG59" s="13"/>
      <c r="AH59" s="13"/>
      <c r="AI59" s="15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</row>
    <row r="60" spans="1:7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5"/>
      <c r="AA60" s="13"/>
      <c r="AB60" s="15"/>
      <c r="AC60" s="13"/>
      <c r="AD60" s="13"/>
      <c r="AE60" s="13"/>
      <c r="AF60" s="13"/>
      <c r="AG60" s="13"/>
      <c r="AH60" s="13"/>
      <c r="AI60" s="15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</row>
    <row r="61" spans="1:7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5"/>
      <c r="AA61" s="13"/>
      <c r="AB61" s="15"/>
      <c r="AC61" s="13"/>
      <c r="AD61" s="13"/>
      <c r="AE61" s="13"/>
      <c r="AF61" s="13"/>
      <c r="AG61" s="13"/>
      <c r="AH61" s="13"/>
      <c r="AI61" s="15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</row>
    <row r="62" spans="1:7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S62" s="13"/>
      <c r="T62" s="13"/>
      <c r="U62" s="13"/>
      <c r="V62" s="13"/>
      <c r="W62" s="13"/>
      <c r="X62" s="13"/>
      <c r="Y62" s="13"/>
      <c r="Z62" s="15"/>
      <c r="AA62" s="13"/>
      <c r="AB62" s="15"/>
      <c r="AC62" s="13"/>
      <c r="AD62" s="13"/>
      <c r="AE62" s="13"/>
      <c r="AF62" s="13"/>
      <c r="AG62" s="13"/>
      <c r="AH62" s="13"/>
      <c r="AI62" s="15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</row>
    <row r="63" spans="1:7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S63" s="13"/>
      <c r="T63" s="13"/>
      <c r="U63" s="13"/>
      <c r="V63" s="13"/>
      <c r="W63" s="13"/>
      <c r="X63" s="13"/>
      <c r="Y63" s="13"/>
      <c r="Z63" s="15"/>
      <c r="AA63" s="13"/>
      <c r="AB63" s="15"/>
      <c r="AC63" s="13"/>
      <c r="AD63" s="13"/>
      <c r="AE63" s="13"/>
      <c r="AF63" s="13"/>
      <c r="AG63" s="13"/>
      <c r="AH63" s="13"/>
      <c r="AI63" s="15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</row>
    <row r="64" spans="1:7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S64" s="13"/>
      <c r="T64" s="13"/>
      <c r="U64" s="13"/>
      <c r="V64" s="13"/>
      <c r="W64" s="13"/>
      <c r="X64" s="13"/>
      <c r="Y64" s="13"/>
      <c r="Z64" s="15"/>
      <c r="AA64" s="13"/>
      <c r="AB64" s="15"/>
      <c r="AC64" s="13"/>
      <c r="AD64" s="13"/>
      <c r="AE64" s="13"/>
      <c r="AF64" s="13"/>
      <c r="AG64" s="13"/>
      <c r="AH64" s="13"/>
      <c r="AI64" s="15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</row>
    <row r="65" spans="1:7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S65" s="13"/>
      <c r="T65" s="13"/>
      <c r="U65" s="13"/>
      <c r="V65" s="13"/>
      <c r="W65" s="13"/>
      <c r="X65" s="13"/>
      <c r="Y65" s="13"/>
      <c r="Z65" s="15"/>
      <c r="AA65" s="13"/>
      <c r="AB65" s="15"/>
      <c r="AC65" s="13"/>
      <c r="AD65" s="13"/>
      <c r="AE65" s="13"/>
      <c r="AF65" s="13"/>
      <c r="AG65" s="13"/>
      <c r="AH65" s="13"/>
      <c r="AI65" s="15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</row>
    <row r="66" spans="1:7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S66" s="13"/>
      <c r="T66" s="13"/>
      <c r="U66" s="13"/>
      <c r="V66" s="13"/>
      <c r="W66" s="13"/>
      <c r="X66" s="13"/>
      <c r="Y66" s="13"/>
      <c r="Z66" s="15"/>
      <c r="AA66" s="13"/>
      <c r="AB66" s="15"/>
      <c r="AC66" s="13"/>
      <c r="AD66" s="13"/>
      <c r="AE66" s="13"/>
      <c r="AF66" s="13"/>
      <c r="AG66" s="13"/>
      <c r="AH66" s="13"/>
      <c r="AI66" s="15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</row>
    <row r="67" spans="1:7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S67" s="13"/>
      <c r="T67" s="13"/>
      <c r="U67" s="13"/>
      <c r="V67" s="13"/>
      <c r="W67" s="13"/>
      <c r="X67" s="13"/>
      <c r="Y67" s="13"/>
      <c r="Z67" s="15"/>
      <c r="AA67" s="13"/>
      <c r="AB67" s="15"/>
      <c r="AC67" s="13"/>
      <c r="AD67" s="13"/>
      <c r="AE67" s="13"/>
      <c r="AF67" s="13"/>
      <c r="AG67" s="13"/>
      <c r="AH67" s="13"/>
      <c r="AI67" s="15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</row>
    <row r="68" spans="1:7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S68" s="13"/>
      <c r="T68" s="13"/>
      <c r="U68" s="13"/>
      <c r="V68" s="13"/>
      <c r="W68" s="13"/>
      <c r="X68" s="13"/>
      <c r="Y68" s="13"/>
      <c r="Z68" s="15"/>
      <c r="AA68" s="13"/>
      <c r="AB68" s="15"/>
      <c r="AC68" s="13"/>
      <c r="AD68" s="13"/>
      <c r="AE68" s="13"/>
      <c r="AF68" s="13"/>
      <c r="AG68" s="13"/>
      <c r="AH68" s="13"/>
      <c r="AI68" s="15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</row>
    <row r="69" spans="1:7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S69" s="13"/>
      <c r="T69" s="13"/>
      <c r="U69" s="13"/>
      <c r="V69" s="13"/>
      <c r="W69" s="13"/>
      <c r="X69" s="13"/>
      <c r="Y69" s="13"/>
      <c r="Z69" s="15"/>
      <c r="AA69" s="13"/>
      <c r="AB69" s="15"/>
      <c r="AC69" s="13"/>
      <c r="AD69" s="13"/>
      <c r="AE69" s="13"/>
      <c r="AF69" s="13"/>
      <c r="AG69" s="13"/>
      <c r="AH69" s="13"/>
      <c r="AI69" s="15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</row>
    <row r="70" spans="1:7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S70" s="13"/>
      <c r="T70" s="13"/>
      <c r="U70" s="13"/>
      <c r="V70" s="13"/>
      <c r="W70" s="13"/>
      <c r="X70" s="13"/>
      <c r="Y70" s="13"/>
      <c r="Z70" s="15"/>
      <c r="AA70" s="13"/>
      <c r="AB70" s="15"/>
      <c r="AC70" s="13"/>
      <c r="AD70" s="13"/>
      <c r="AE70" s="13"/>
      <c r="AF70" s="13"/>
      <c r="AG70" s="13"/>
      <c r="AH70" s="13"/>
      <c r="AI70" s="15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</row>
    <row r="71" spans="1:7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S71" s="13"/>
      <c r="T71" s="13"/>
      <c r="U71" s="13"/>
      <c r="V71" s="13"/>
      <c r="W71" s="13"/>
      <c r="X71" s="13"/>
      <c r="Y71" s="13"/>
      <c r="Z71" s="15"/>
      <c r="AA71" s="13"/>
      <c r="AB71" s="15"/>
      <c r="AC71" s="13"/>
      <c r="AD71" s="13"/>
      <c r="AE71" s="13"/>
      <c r="AF71" s="13"/>
      <c r="AG71" s="13"/>
      <c r="AH71" s="13"/>
      <c r="AI71" s="15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</row>
    <row r="72" spans="1:7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S72" s="13"/>
      <c r="T72" s="13"/>
      <c r="U72" s="13"/>
      <c r="V72" s="13"/>
      <c r="W72" s="13"/>
      <c r="X72" s="13"/>
      <c r="Y72" s="13"/>
      <c r="Z72" s="15"/>
      <c r="AA72" s="13"/>
      <c r="AB72" s="15"/>
      <c r="AC72" s="13"/>
      <c r="AD72" s="13"/>
      <c r="AE72" s="13"/>
      <c r="AF72" s="13"/>
      <c r="AG72" s="13"/>
      <c r="AH72" s="13"/>
      <c r="AI72" s="15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</row>
    <row r="73" spans="1:7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S73" s="13"/>
      <c r="T73" s="13"/>
      <c r="U73" s="13"/>
      <c r="V73" s="13"/>
      <c r="W73" s="13"/>
      <c r="X73" s="13"/>
      <c r="Y73" s="13"/>
      <c r="Z73" s="15"/>
      <c r="AA73" s="13"/>
      <c r="AB73" s="15"/>
      <c r="AC73" s="13"/>
      <c r="AD73" s="13"/>
      <c r="AE73" s="13"/>
      <c r="AF73" s="13"/>
      <c r="AG73" s="13"/>
      <c r="AH73" s="13"/>
      <c r="AI73" s="15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</row>
    <row r="74" spans="1:7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S74" s="13"/>
      <c r="T74" s="13"/>
      <c r="U74" s="13"/>
      <c r="V74" s="13"/>
      <c r="W74" s="13"/>
      <c r="X74" s="13"/>
      <c r="Y74" s="13"/>
      <c r="Z74" s="15"/>
      <c r="AA74" s="13"/>
      <c r="AB74" s="15"/>
      <c r="AC74" s="13"/>
      <c r="AD74" s="13"/>
      <c r="AE74" s="13"/>
      <c r="AF74" s="13"/>
      <c r="AG74" s="13"/>
      <c r="AH74" s="13"/>
      <c r="AI74" s="15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</row>
    <row r="75" spans="1:7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S75" s="13"/>
      <c r="T75" s="13"/>
      <c r="U75" s="13"/>
      <c r="V75" s="13"/>
      <c r="W75" s="13"/>
      <c r="X75" s="13"/>
      <c r="Y75" s="13"/>
      <c r="Z75" s="15"/>
      <c r="AA75" s="13"/>
      <c r="AB75" s="15"/>
      <c r="AC75" s="13"/>
      <c r="AD75" s="13"/>
      <c r="AE75" s="13"/>
      <c r="AF75" s="13"/>
      <c r="AG75" s="13"/>
      <c r="AH75" s="13"/>
      <c r="AI75" s="15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</row>
    <row r="76" spans="1:7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S76" s="13"/>
      <c r="T76" s="13"/>
      <c r="U76" s="13"/>
      <c r="V76" s="13"/>
      <c r="W76" s="13"/>
      <c r="X76" s="13"/>
      <c r="Y76" s="13"/>
      <c r="Z76" s="15"/>
      <c r="AA76" s="13"/>
      <c r="AB76" s="15"/>
      <c r="AC76" s="13"/>
      <c r="AD76" s="13"/>
      <c r="AE76" s="13"/>
      <c r="AF76" s="13"/>
      <c r="AG76" s="13"/>
      <c r="AH76" s="13"/>
      <c r="AI76" s="15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</row>
    <row r="77" spans="1:7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S77" s="13"/>
      <c r="T77" s="13"/>
      <c r="U77" s="13"/>
      <c r="V77" s="13"/>
      <c r="W77" s="13"/>
      <c r="X77" s="13"/>
      <c r="Y77" s="13"/>
      <c r="Z77" s="15"/>
      <c r="AA77" s="13"/>
      <c r="AB77" s="15"/>
      <c r="AC77" s="13"/>
      <c r="AD77" s="13"/>
      <c r="AE77" s="13"/>
      <c r="AF77" s="13"/>
      <c r="AG77" s="13"/>
      <c r="AH77" s="13"/>
      <c r="AI77" s="15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</row>
    <row r="78" spans="1:7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S78" s="13"/>
      <c r="T78" s="13"/>
      <c r="U78" s="13"/>
      <c r="V78" s="13"/>
      <c r="W78" s="13"/>
      <c r="X78" s="13"/>
      <c r="Y78" s="13"/>
      <c r="Z78" s="15"/>
      <c r="AA78" s="13"/>
      <c r="AB78" s="15"/>
      <c r="AC78" s="13"/>
      <c r="AD78" s="13"/>
      <c r="AE78" s="13"/>
      <c r="AF78" s="13"/>
      <c r="AG78" s="13"/>
      <c r="AH78" s="13"/>
      <c r="AI78" s="15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</row>
    <row r="79" spans="1:7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S79" s="13"/>
      <c r="T79" s="13"/>
      <c r="U79" s="13"/>
      <c r="V79" s="13"/>
      <c r="W79" s="13"/>
      <c r="X79" s="13"/>
      <c r="Y79" s="13"/>
      <c r="Z79" s="15"/>
      <c r="AA79" s="13"/>
      <c r="AB79" s="15"/>
      <c r="AC79" s="13"/>
      <c r="AD79" s="13"/>
      <c r="AE79" s="13"/>
      <c r="AF79" s="13"/>
      <c r="AG79" s="13"/>
      <c r="AH79" s="13"/>
      <c r="AI79" s="15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</row>
    <row r="80" spans="1:7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S80" s="13"/>
      <c r="T80" s="13"/>
      <c r="U80" s="13"/>
      <c r="V80" s="13"/>
      <c r="W80" s="13"/>
      <c r="X80" s="13"/>
      <c r="Y80" s="13"/>
      <c r="Z80" s="15"/>
      <c r="AA80" s="13"/>
      <c r="AB80" s="15"/>
      <c r="AC80" s="13"/>
      <c r="AD80" s="13"/>
      <c r="AE80" s="13"/>
      <c r="AF80" s="13"/>
      <c r="AG80" s="13"/>
      <c r="AH80" s="13"/>
      <c r="AI80" s="15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</row>
    <row r="81" spans="1:7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S81" s="13"/>
      <c r="T81" s="13"/>
      <c r="U81" s="13"/>
      <c r="V81" s="13"/>
      <c r="W81" s="13"/>
      <c r="X81" s="13"/>
      <c r="Y81" s="13"/>
      <c r="Z81" s="15"/>
      <c r="AA81" s="13"/>
      <c r="AB81" s="15"/>
      <c r="AC81" s="13"/>
      <c r="AD81" s="13"/>
      <c r="AE81" s="13"/>
      <c r="AF81" s="13"/>
      <c r="AG81" s="13"/>
      <c r="AH81" s="13"/>
      <c r="AI81" s="15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</row>
    <row r="82" spans="1:7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S82" s="13"/>
      <c r="T82" s="13"/>
      <c r="U82" s="13"/>
      <c r="V82" s="13"/>
      <c r="W82" s="13"/>
      <c r="X82" s="13"/>
      <c r="Y82" s="13"/>
      <c r="Z82" s="15"/>
      <c r="AA82" s="13"/>
      <c r="AB82" s="15"/>
      <c r="AC82" s="13"/>
      <c r="AD82" s="13"/>
      <c r="AE82" s="13"/>
      <c r="AF82" s="13"/>
      <c r="AG82" s="13"/>
      <c r="AH82" s="13"/>
      <c r="AI82" s="15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</row>
    <row r="83" spans="1:71" x14ac:dyDescent="0.25">
      <c r="A83" s="13"/>
      <c r="B83" s="13"/>
      <c r="C83" s="13"/>
      <c r="S83" s="13"/>
      <c r="T83" s="13"/>
      <c r="U83" s="13"/>
      <c r="V83" s="13"/>
      <c r="W83" s="13"/>
      <c r="X83" s="13"/>
      <c r="Y83" s="13"/>
      <c r="Z83" s="15"/>
      <c r="AA83" s="13"/>
      <c r="AB83" s="15"/>
      <c r="AC83" s="13"/>
      <c r="AD83" s="13"/>
      <c r="AE83" s="13"/>
      <c r="AF83" s="13"/>
      <c r="AG83" s="13"/>
      <c r="AH83" s="13"/>
      <c r="AI83" s="15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</row>
    <row r="84" spans="1:71" x14ac:dyDescent="0.25">
      <c r="A84" s="13"/>
      <c r="B84" s="13"/>
      <c r="C84" s="13"/>
      <c r="S84" s="13"/>
      <c r="T84" s="13"/>
      <c r="U84" s="13"/>
      <c r="V84" s="13"/>
      <c r="W84" s="13"/>
      <c r="X84" s="13"/>
      <c r="Y84" s="13"/>
      <c r="Z84" s="15"/>
      <c r="AA84" s="13"/>
      <c r="AB84" s="15"/>
      <c r="AC84" s="13"/>
      <c r="AD84" s="13"/>
      <c r="AE84" s="13"/>
      <c r="AF84" s="13"/>
      <c r="AG84" s="13"/>
      <c r="AH84" s="13"/>
      <c r="AI84" s="15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</row>
    <row r="85" spans="1:71" x14ac:dyDescent="0.25">
      <c r="A85" s="13"/>
      <c r="B85" s="13"/>
      <c r="C85" s="13"/>
      <c r="S85" s="13"/>
      <c r="T85" s="13"/>
      <c r="U85" s="13"/>
      <c r="V85" s="13"/>
      <c r="W85" s="13"/>
      <c r="X85" s="13"/>
      <c r="Y85" s="13"/>
      <c r="Z85" s="15"/>
      <c r="AA85" s="13"/>
      <c r="AB85" s="15"/>
      <c r="AC85" s="13"/>
      <c r="AD85" s="13"/>
      <c r="AE85" s="13"/>
      <c r="AF85" s="13"/>
      <c r="AG85" s="13"/>
      <c r="AH85" s="13"/>
      <c r="AI85" s="15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</row>
    <row r="86" spans="1:71" x14ac:dyDescent="0.25">
      <c r="A86" s="13"/>
      <c r="B86" s="13"/>
      <c r="C86" s="13"/>
      <c r="S86" s="13"/>
      <c r="T86" s="13"/>
      <c r="U86" s="13"/>
      <c r="V86" s="13"/>
      <c r="W86" s="13"/>
      <c r="X86" s="13"/>
      <c r="Y86" s="13"/>
      <c r="Z86" s="15"/>
      <c r="AA86" s="13"/>
      <c r="AB86" s="15"/>
      <c r="AC86" s="13"/>
      <c r="AD86" s="13"/>
      <c r="AE86" s="13"/>
      <c r="AF86" s="13"/>
      <c r="AG86" s="13"/>
      <c r="AH86" s="13"/>
      <c r="AI86" s="15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</row>
    <row r="87" spans="1:71" x14ac:dyDescent="0.25">
      <c r="A87" s="13"/>
      <c r="B87" s="13"/>
      <c r="C87" s="13"/>
      <c r="S87" s="13"/>
      <c r="T87" s="13"/>
      <c r="U87" s="13"/>
      <c r="V87" s="13"/>
      <c r="W87" s="13"/>
      <c r="X87" s="13"/>
      <c r="Y87" s="13"/>
      <c r="Z87" s="15"/>
      <c r="AA87" s="13"/>
      <c r="AB87" s="15"/>
      <c r="AC87" s="13"/>
      <c r="AD87" s="13"/>
      <c r="AE87" s="13"/>
      <c r="AF87" s="13"/>
      <c r="AG87" s="13"/>
      <c r="AH87" s="13"/>
      <c r="AI87" s="15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</row>
    <row r="88" spans="1:71" x14ac:dyDescent="0.25">
      <c r="A88" s="13"/>
      <c r="B88" s="13"/>
      <c r="C88" s="13"/>
      <c r="AF88" s="13"/>
      <c r="AG88" s="13"/>
      <c r="AH88" s="13"/>
      <c r="AI88" s="15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</row>
  </sheetData>
  <mergeCells count="35">
    <mergeCell ref="P27:Q28"/>
    <mergeCell ref="N28:O28"/>
    <mergeCell ref="N27:O27"/>
    <mergeCell ref="S16:U19"/>
    <mergeCell ref="D21:N21"/>
    <mergeCell ref="D22:N22"/>
    <mergeCell ref="D24:N24"/>
    <mergeCell ref="D25:N25"/>
    <mergeCell ref="E26:M26"/>
    <mergeCell ref="N26:O26"/>
    <mergeCell ref="D13:D16"/>
    <mergeCell ref="H13:J13"/>
    <mergeCell ref="H14:J14"/>
    <mergeCell ref="H15:J15"/>
    <mergeCell ref="H16:J16"/>
    <mergeCell ref="P15:Q15"/>
    <mergeCell ref="P16:Q19"/>
    <mergeCell ref="M19:N19"/>
    <mergeCell ref="M8:N8"/>
    <mergeCell ref="G1:O2"/>
    <mergeCell ref="N4:O4"/>
    <mergeCell ref="F6:L6"/>
    <mergeCell ref="W4:Y4"/>
    <mergeCell ref="H7:J7"/>
    <mergeCell ref="L7:M7"/>
    <mergeCell ref="F4:L5"/>
    <mergeCell ref="L14:M14"/>
    <mergeCell ref="M12:N12"/>
    <mergeCell ref="M11:N11"/>
    <mergeCell ref="M10:N10"/>
    <mergeCell ref="M9:N9"/>
    <mergeCell ref="S7:U12"/>
    <mergeCell ref="M13:N13"/>
    <mergeCell ref="P12:Q12"/>
    <mergeCell ref="P14:Q14"/>
  </mergeCells>
  <dataValidations count="4">
    <dataValidation type="list" allowBlank="1" showInputMessage="1" showErrorMessage="1" sqref="P9" xr:uid="{1E50A619-5177-4A7C-960C-4319765B686B}">
      <formula1>$AB$5:$AB$7</formula1>
    </dataValidation>
    <dataValidation type="list" allowBlank="1" showInputMessage="1" showErrorMessage="1" sqref="M16" xr:uid="{A3D05F01-A0C7-448B-95D5-95CDC2CD38E4}">
      <formula1>$AD$5:$AD$6</formula1>
    </dataValidation>
    <dataValidation type="list" allowBlank="1" showInputMessage="1" showErrorMessage="1" sqref="M9:N9" xr:uid="{6C0F4717-B772-4266-9578-64F914BE7947}">
      <formula1>$Z$5:$Z$8</formula1>
    </dataValidation>
    <dataValidation type="list" allowBlank="1" showInputMessage="1" showErrorMessage="1" prompt="Click dropdown..." sqref="P15:Q15" xr:uid="{98B61579-55FB-40A6-94F8-D6F22BA3C82D}">
      <formula1>"Click dropdown..."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ommPorts">
                <anchor moveWithCells="1">
                  <from>
                    <xdr:col>15</xdr:col>
                    <xdr:colOff>28575</xdr:colOff>
                    <xdr:row>19</xdr:row>
                    <xdr:rowOff>133350</xdr:rowOff>
                  </from>
                  <to>
                    <xdr:col>16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9B14-63D4-44B9-BEEB-F4DAC04241CA}">
  <sheetPr codeName="Sheet4"/>
  <dimension ref="B1:L12"/>
  <sheetViews>
    <sheetView topLeftCell="B1" zoomScale="190" zoomScaleNormal="190" workbookViewId="0">
      <selection activeCell="J9" sqref="J9"/>
    </sheetView>
  </sheetViews>
  <sheetFormatPr defaultRowHeight="15" x14ac:dyDescent="0.25"/>
  <cols>
    <col min="2" max="4" width="6" customWidth="1"/>
    <col min="9" max="12" width="4.5703125" customWidth="1"/>
  </cols>
  <sheetData>
    <row r="1" spans="2:12" x14ac:dyDescent="0.25">
      <c r="B1" s="213"/>
      <c r="C1" s="214"/>
      <c r="D1" s="214"/>
    </row>
    <row r="2" spans="2:12" ht="18.75" customHeight="1" x14ac:dyDescent="0.25">
      <c r="B2" s="215"/>
      <c r="C2" s="214"/>
      <c r="D2" s="214"/>
    </row>
    <row r="3" spans="2:12" ht="18.75" customHeight="1" x14ac:dyDescent="0.25">
      <c r="B3" s="215"/>
      <c r="C3" s="214"/>
      <c r="D3" s="214"/>
    </row>
    <row r="4" spans="2:12" ht="18.75" customHeight="1" x14ac:dyDescent="0.25">
      <c r="B4" s="215"/>
      <c r="C4" s="214"/>
      <c r="D4" s="214"/>
    </row>
    <row r="6" spans="2:12" ht="9" customHeight="1" x14ac:dyDescent="0.25">
      <c r="I6" s="38" t="s">
        <v>63</v>
      </c>
      <c r="J6" s="216">
        <f>Information!H13</f>
        <v>0</v>
      </c>
      <c r="K6" s="216"/>
      <c r="L6" s="217"/>
    </row>
    <row r="7" spans="2:12" ht="9" customHeight="1" x14ac:dyDescent="0.25">
      <c r="I7" s="39" t="s">
        <v>64</v>
      </c>
      <c r="J7" s="38" t="e">
        <f>#REF!</f>
        <v>#REF!</v>
      </c>
      <c r="K7" s="39" t="s">
        <v>65</v>
      </c>
      <c r="L7" s="38" t="e">
        <f>#REF!</f>
        <v>#REF!</v>
      </c>
    </row>
    <row r="8" spans="2:12" ht="9" customHeight="1" x14ac:dyDescent="0.25">
      <c r="I8" s="39" t="s">
        <v>66</v>
      </c>
      <c r="J8" s="38" t="e">
        <f>#REF!</f>
        <v>#REF!</v>
      </c>
      <c r="K8" s="39" t="s">
        <v>67</v>
      </c>
      <c r="L8" s="38" t="e">
        <f>#REF!</f>
        <v>#REF!</v>
      </c>
    </row>
    <row r="9" spans="2:12" ht="9" customHeight="1" x14ac:dyDescent="0.25">
      <c r="I9" s="39" t="s">
        <v>68</v>
      </c>
      <c r="J9" s="38" t="e">
        <f>#REF!</f>
        <v>#REF!</v>
      </c>
      <c r="K9" s="39" t="s">
        <v>69</v>
      </c>
      <c r="L9" s="38" t="e">
        <f>#REF!</f>
        <v>#REF!</v>
      </c>
    </row>
    <row r="12" spans="2:12" x14ac:dyDescent="0.25">
      <c r="H12" s="2"/>
    </row>
  </sheetData>
  <mergeCells count="5">
    <mergeCell ref="B1:D1"/>
    <mergeCell ref="B2:D2"/>
    <mergeCell ref="B3:D3"/>
    <mergeCell ref="B4:D4"/>
    <mergeCell ref="J6:L6"/>
  </mergeCells>
  <pageMargins left="0.1" right="0.1" top="0.1" bottom="0.1" header="0.5" footer="0.5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A9113-460C-4934-B40D-6C3343FCC3DB}">
  <sheetPr codeName="Sheet1"/>
  <dimension ref="A1:U107"/>
  <sheetViews>
    <sheetView zoomScaleNormal="100" workbookViewId="0">
      <selection activeCell="P19" sqref="P19"/>
    </sheetView>
  </sheetViews>
  <sheetFormatPr defaultRowHeight="15" x14ac:dyDescent="0.25"/>
  <cols>
    <col min="1" max="1" width="9.140625" style="59" customWidth="1"/>
    <col min="2" max="2" width="17.85546875" style="59" customWidth="1"/>
    <col min="3" max="3" width="8.140625" style="59" customWidth="1"/>
    <col min="4" max="4" width="5" style="59" customWidth="1"/>
    <col min="5" max="5" width="4" style="59" customWidth="1"/>
    <col min="6" max="6" width="10.7109375" style="59" customWidth="1"/>
    <col min="7" max="7" width="9.140625" style="59" customWidth="1"/>
    <col min="8" max="8" width="10.7109375" style="59" customWidth="1"/>
    <col min="9" max="9" width="9.85546875" style="59" customWidth="1"/>
    <col min="10" max="10" width="10.7109375" style="59" customWidth="1"/>
    <col min="11" max="11" width="9.85546875" style="59" customWidth="1"/>
    <col min="12" max="12" width="13.28515625" style="59" customWidth="1"/>
    <col min="13" max="13" width="11.28515625" style="112" customWidth="1"/>
    <col min="14" max="14" width="6.7109375" style="59" customWidth="1"/>
    <col min="15" max="15" width="4.5703125" style="59" customWidth="1"/>
    <col min="16" max="16" width="45" style="59" customWidth="1"/>
    <col min="17" max="17" width="6.7109375" style="59" customWidth="1"/>
    <col min="18" max="18" width="7.42578125" style="59" customWidth="1"/>
    <col min="19" max="19" width="6.7109375" style="59" customWidth="1"/>
    <col min="20" max="21" width="7.42578125" style="59" customWidth="1"/>
    <col min="22" max="16384" width="9.140625" style="59"/>
  </cols>
  <sheetData>
    <row r="1" spans="1:17" x14ac:dyDescent="0.25">
      <c r="A1" s="55"/>
      <c r="B1" s="161" t="s">
        <v>60</v>
      </c>
      <c r="C1" s="161"/>
      <c r="D1" s="83"/>
      <c r="E1" s="167" t="s">
        <v>33</v>
      </c>
      <c r="F1" s="167"/>
      <c r="G1" s="167"/>
      <c r="H1" s="163" t="str">
        <f>"Work Order: "&amp;Information!H13</f>
        <v xml:space="preserve">Work Order: </v>
      </c>
      <c r="I1" s="163"/>
      <c r="J1" s="163"/>
      <c r="K1" s="163"/>
      <c r="L1" s="168"/>
      <c r="M1" s="168"/>
      <c r="N1" s="168"/>
      <c r="O1" s="55"/>
      <c r="P1" s="55"/>
      <c r="Q1" s="55"/>
    </row>
    <row r="2" spans="1:17" x14ac:dyDescent="0.25">
      <c r="A2" s="55"/>
      <c r="B2" s="161" t="str">
        <f>"Manufacturer: "  &amp;Information!X3</f>
        <v>Manufacturer: Fluke</v>
      </c>
      <c r="C2" s="161"/>
      <c r="D2" s="161"/>
      <c r="E2" s="161" t="str">
        <f>"Model: " &amp;Information!Y3</f>
        <v>Model: 789</v>
      </c>
      <c r="F2" s="161"/>
      <c r="G2" s="161"/>
      <c r="H2" s="161"/>
      <c r="I2" s="162"/>
      <c r="J2" s="162"/>
      <c r="K2" s="162"/>
      <c r="M2" s="59"/>
    </row>
    <row r="3" spans="1:17" x14ac:dyDescent="0.25">
      <c r="A3" s="55"/>
      <c r="B3" s="161" t="str">
        <f>"Description: " &amp;Information!W4</f>
        <v>Description: Processmeter</v>
      </c>
      <c r="C3" s="161"/>
      <c r="D3" s="161"/>
      <c r="E3" s="161"/>
      <c r="F3" s="161"/>
      <c r="G3" s="161"/>
      <c r="H3" s="161"/>
      <c r="I3" s="161"/>
      <c r="J3" s="161"/>
      <c r="K3" s="161"/>
      <c r="M3" s="59"/>
    </row>
    <row r="4" spans="1:17" x14ac:dyDescent="0.25">
      <c r="A4" s="55"/>
      <c r="B4" s="162" t="str">
        <f>"Mfr S/N: " &amp;Information!H14</f>
        <v xml:space="preserve">Mfr S/N: </v>
      </c>
      <c r="C4" s="162"/>
      <c r="D4" s="162"/>
      <c r="E4" s="162" t="str">
        <f>"Cust ID: " &amp;Information!H15</f>
        <v xml:space="preserve">Cust ID: </v>
      </c>
      <c r="F4" s="162"/>
      <c r="G4" s="162"/>
      <c r="H4" s="163" t="str">
        <f>"Cust S/N: " &amp;Information!H16</f>
        <v>Cust S/N: N/A</v>
      </c>
      <c r="I4" s="163"/>
      <c r="J4" s="163"/>
      <c r="K4" s="163"/>
      <c r="M4" s="59"/>
    </row>
    <row r="5" spans="1:17" x14ac:dyDescent="0.25">
      <c r="A5" s="55"/>
      <c r="B5" s="164" t="s">
        <v>34</v>
      </c>
      <c r="C5" s="165"/>
      <c r="D5" s="166"/>
      <c r="E5" s="85" t="s">
        <v>35</v>
      </c>
      <c r="F5" s="164" t="s">
        <v>36</v>
      </c>
      <c r="G5" s="166"/>
      <c r="H5" s="164" t="s">
        <v>37</v>
      </c>
      <c r="I5" s="165"/>
      <c r="J5" s="165"/>
      <c r="K5" s="166"/>
      <c r="M5" s="59"/>
    </row>
    <row r="6" spans="1:17" ht="15.75" thickBot="1" x14ac:dyDescent="0.3">
      <c r="A6" s="55"/>
      <c r="B6" s="86" t="s">
        <v>113</v>
      </c>
      <c r="C6" s="150" t="s">
        <v>39</v>
      </c>
      <c r="D6" s="150"/>
      <c r="E6" s="80" t="s">
        <v>40</v>
      </c>
      <c r="F6" s="86" t="s">
        <v>41</v>
      </c>
      <c r="G6" s="86" t="s">
        <v>42</v>
      </c>
      <c r="H6" s="151" t="s">
        <v>43</v>
      </c>
      <c r="I6" s="152"/>
      <c r="J6" s="151" t="s">
        <v>44</v>
      </c>
      <c r="K6" s="152"/>
      <c r="M6" s="59"/>
    </row>
    <row r="7" spans="1:17" x14ac:dyDescent="0.25">
      <c r="B7" s="153"/>
      <c r="C7" s="154"/>
      <c r="D7" s="155"/>
      <c r="E7" s="66"/>
      <c r="F7" s="66"/>
      <c r="G7" s="87"/>
      <c r="H7" s="66"/>
      <c r="I7" s="79"/>
      <c r="J7" s="78"/>
      <c r="K7" s="79"/>
      <c r="M7" s="59"/>
    </row>
    <row r="8" spans="1:17" x14ac:dyDescent="0.25">
      <c r="B8" s="135" t="s">
        <v>47</v>
      </c>
      <c r="C8" s="136"/>
      <c r="D8" s="137"/>
      <c r="E8" s="66"/>
      <c r="F8" s="81" t="str">
        <f>IF(COUNTIF(E13:E91,"~*")&gt;0, "Fail", "Pass")</f>
        <v>Pass</v>
      </c>
      <c r="G8" s="81" t="str">
        <f>IF(COUNTIF(M13:M91,"~*")&gt;0, "Fail", "Pass")</f>
        <v>Pass</v>
      </c>
      <c r="H8" s="66"/>
      <c r="I8" s="79"/>
      <c r="J8" s="156" t="str">
        <f>IF(M93&gt;0,"Status: Incomplete","")</f>
        <v>Status: Incomplete</v>
      </c>
      <c r="K8" s="157"/>
      <c r="M8" s="59"/>
    </row>
    <row r="9" spans="1:17" x14ac:dyDescent="0.25">
      <c r="B9" s="135" t="s">
        <v>45</v>
      </c>
      <c r="C9" s="136"/>
      <c r="D9" s="137"/>
      <c r="E9" s="66" t="s">
        <v>45</v>
      </c>
      <c r="F9" s="66"/>
      <c r="G9" s="87" t="s">
        <v>45</v>
      </c>
      <c r="H9" s="66" t="s">
        <v>45</v>
      </c>
      <c r="I9" s="79"/>
      <c r="J9" s="78" t="s">
        <v>45</v>
      </c>
      <c r="K9" s="79"/>
      <c r="M9" s="59"/>
    </row>
    <row r="10" spans="1:17" ht="15" customHeight="1" x14ac:dyDescent="0.25">
      <c r="B10" s="158" t="s">
        <v>83</v>
      </c>
      <c r="C10" s="159"/>
      <c r="D10" s="160"/>
      <c r="E10" s="66" t="s">
        <v>45</v>
      </c>
      <c r="F10" s="66"/>
      <c r="G10" s="87" t="s">
        <v>45</v>
      </c>
      <c r="H10" s="66"/>
      <c r="I10" s="79" t="s">
        <v>45</v>
      </c>
      <c r="J10" s="78" t="s">
        <v>45</v>
      </c>
      <c r="K10" s="79"/>
      <c r="M10" s="59"/>
    </row>
    <row r="11" spans="1:17" x14ac:dyDescent="0.25">
      <c r="B11" s="26"/>
      <c r="C11" s="27"/>
      <c r="D11" s="57"/>
      <c r="E11" s="87"/>
      <c r="F11" s="87"/>
      <c r="G11" s="87"/>
      <c r="H11" s="66"/>
      <c r="I11" s="67"/>
      <c r="J11" s="66"/>
      <c r="K11" s="67"/>
      <c r="M11" s="59"/>
    </row>
    <row r="12" spans="1:17" ht="15" customHeight="1" x14ac:dyDescent="0.25">
      <c r="B12" s="135" t="s">
        <v>114</v>
      </c>
      <c r="C12" s="136"/>
      <c r="D12" s="137"/>
      <c r="E12" s="87"/>
      <c r="F12" s="87"/>
      <c r="G12" s="87"/>
      <c r="H12" s="135" t="s">
        <v>115</v>
      </c>
      <c r="I12" s="136"/>
      <c r="J12" s="136"/>
      <c r="K12" s="137"/>
      <c r="L12" s="68"/>
      <c r="M12" s="59"/>
    </row>
    <row r="13" spans="1:17" ht="15" customHeight="1" x14ac:dyDescent="0.25">
      <c r="B13" s="88" t="s">
        <v>116</v>
      </c>
      <c r="C13" s="69">
        <v>100</v>
      </c>
      <c r="D13" s="57" t="s">
        <v>78</v>
      </c>
      <c r="E13" s="89" t="str">
        <f>IF(AND(F13&gt;=H13,F13&lt;=J13),"",IF(OR(F13="",F13="N/A"),"","*"))</f>
        <v/>
      </c>
      <c r="F13" s="70"/>
      <c r="G13" s="70" t="s">
        <v>91</v>
      </c>
      <c r="H13" s="90">
        <f>(C13-L13)</f>
        <v>98.9</v>
      </c>
      <c r="I13" s="57" t="str">
        <f>(D13)</f>
        <v>mV</v>
      </c>
      <c r="J13" s="90">
        <f>(L13+C13)</f>
        <v>101.1</v>
      </c>
      <c r="K13" s="57" t="str">
        <f>(D13)</f>
        <v>mV</v>
      </c>
      <c r="L13" s="56">
        <f>ROUND(0.7%*C13+0.4,1)</f>
        <v>1.1000000000000001</v>
      </c>
      <c r="M13" s="91" t="str">
        <f t="shared" ref="M13:M24" si="0">IF(AND(G13&gt;=H13,G13&lt;=J13),"",IF(OR(G13="",G13="N/A"),"","*"))</f>
        <v/>
      </c>
      <c r="N13" s="59" t="s">
        <v>183</v>
      </c>
    </row>
    <row r="14" spans="1:17" ht="15" customHeight="1" x14ac:dyDescent="0.25">
      <c r="B14" s="88"/>
      <c r="C14" s="69">
        <v>300</v>
      </c>
      <c r="D14" s="57" t="s">
        <v>78</v>
      </c>
      <c r="E14" s="89" t="str">
        <f>IF(AND(F14&gt;=H14,F14&lt;=J14),"",IF(OR(F14="",F14="N/A"),"","*"))</f>
        <v/>
      </c>
      <c r="F14" s="70"/>
      <c r="G14" s="70" t="s">
        <v>91</v>
      </c>
      <c r="H14" s="90">
        <f>(C14-L14)</f>
        <v>297.5</v>
      </c>
      <c r="I14" s="57" t="str">
        <f>(D14)</f>
        <v>mV</v>
      </c>
      <c r="J14" s="90">
        <f>(L14+C14)</f>
        <v>302.5</v>
      </c>
      <c r="K14" s="57" t="str">
        <f>(D14)</f>
        <v>mV</v>
      </c>
      <c r="L14" s="56">
        <f>ROUND(0.7%*C14+0.4,1)</f>
        <v>2.5</v>
      </c>
      <c r="M14" s="91" t="str">
        <f t="shared" si="0"/>
        <v/>
      </c>
    </row>
    <row r="15" spans="1:17" ht="15" customHeight="1" x14ac:dyDescent="0.25">
      <c r="B15" s="88"/>
      <c r="C15" s="69"/>
      <c r="D15" s="57"/>
      <c r="E15" s="89"/>
      <c r="F15" s="89" t="s">
        <v>117</v>
      </c>
      <c r="G15" s="89" t="s">
        <v>117</v>
      </c>
      <c r="H15" s="144" t="s">
        <v>118</v>
      </c>
      <c r="I15" s="145"/>
      <c r="J15" s="145"/>
      <c r="K15" s="146"/>
      <c r="L15" s="56"/>
      <c r="M15" s="56"/>
    </row>
    <row r="16" spans="1:17" ht="15" customHeight="1" x14ac:dyDescent="0.25">
      <c r="B16" s="88" t="s">
        <v>119</v>
      </c>
      <c r="C16" s="69">
        <v>1</v>
      </c>
      <c r="D16" s="57" t="s">
        <v>84</v>
      </c>
      <c r="E16" s="89" t="str">
        <f t="shared" ref="E16:E24" si="1">IF(AND(F16&gt;=H16,F16&lt;=J16),"",IF(OR(F16="",F16="N/A"),"","*"))</f>
        <v/>
      </c>
      <c r="F16" s="71"/>
      <c r="G16" s="71" t="s">
        <v>91</v>
      </c>
      <c r="H16" s="92">
        <f>(C16-L16)</f>
        <v>0.99099999999999999</v>
      </c>
      <c r="I16" s="57" t="str">
        <f t="shared" ref="I16:I24" si="2">(D16)</f>
        <v>V</v>
      </c>
      <c r="J16" s="92">
        <f>(L16+C16)</f>
        <v>1.0089999999999999</v>
      </c>
      <c r="K16" s="57" t="str">
        <f t="shared" ref="K16:K24" si="3">(D16)</f>
        <v>V</v>
      </c>
      <c r="L16" s="56">
        <f>ROUND(0.7%*C16+0.002,3)</f>
        <v>8.9999999999999993E-3</v>
      </c>
      <c r="M16" s="91" t="str">
        <f t="shared" si="0"/>
        <v/>
      </c>
    </row>
    <row r="17" spans="1:21" ht="15" customHeight="1" x14ac:dyDescent="0.25">
      <c r="B17" s="88"/>
      <c r="C17" s="69">
        <v>2</v>
      </c>
      <c r="D17" s="57" t="s">
        <v>84</v>
      </c>
      <c r="E17" s="89" t="str">
        <f t="shared" si="1"/>
        <v/>
      </c>
      <c r="F17" s="71"/>
      <c r="G17" s="71" t="s">
        <v>91</v>
      </c>
      <c r="H17" s="92">
        <f t="shared" ref="H17:H24" si="4">(C17-L17)</f>
        <v>1.984</v>
      </c>
      <c r="I17" s="57" t="str">
        <f t="shared" si="2"/>
        <v>V</v>
      </c>
      <c r="J17" s="92">
        <f t="shared" ref="J17:J24" si="5">(L17+C17)</f>
        <v>2.016</v>
      </c>
      <c r="K17" s="57" t="str">
        <f t="shared" si="3"/>
        <v>V</v>
      </c>
      <c r="L17" s="56">
        <f t="shared" ref="L17:L18" si="6">ROUND(0.7%*C17+0.002,3)</f>
        <v>1.6E-2</v>
      </c>
      <c r="M17" s="91" t="str">
        <f t="shared" si="0"/>
        <v/>
      </c>
    </row>
    <row r="18" spans="1:21" ht="15" customHeight="1" x14ac:dyDescent="0.25">
      <c r="B18" s="88"/>
      <c r="C18" s="69">
        <v>3</v>
      </c>
      <c r="D18" s="57" t="s">
        <v>84</v>
      </c>
      <c r="E18" s="89" t="str">
        <f t="shared" si="1"/>
        <v/>
      </c>
      <c r="F18" s="71"/>
      <c r="G18" s="71" t="s">
        <v>91</v>
      </c>
      <c r="H18" s="92">
        <f t="shared" si="4"/>
        <v>2.9769999999999999</v>
      </c>
      <c r="I18" s="57" t="str">
        <f t="shared" si="2"/>
        <v>V</v>
      </c>
      <c r="J18" s="92">
        <f t="shared" si="5"/>
        <v>3.0230000000000001</v>
      </c>
      <c r="K18" s="57" t="str">
        <f t="shared" si="3"/>
        <v>V</v>
      </c>
      <c r="L18" s="56">
        <f t="shared" si="6"/>
        <v>2.3E-2</v>
      </c>
      <c r="M18" s="91" t="str">
        <f t="shared" si="0"/>
        <v/>
      </c>
    </row>
    <row r="19" spans="1:21" x14ac:dyDescent="0.25">
      <c r="B19" s="88" t="s">
        <v>120</v>
      </c>
      <c r="C19" s="69">
        <v>10</v>
      </c>
      <c r="D19" s="57" t="s">
        <v>84</v>
      </c>
      <c r="E19" s="89" t="str">
        <f t="shared" si="1"/>
        <v/>
      </c>
      <c r="F19" s="72"/>
      <c r="G19" s="72" t="s">
        <v>91</v>
      </c>
      <c r="H19" s="93">
        <f t="shared" si="4"/>
        <v>9.91</v>
      </c>
      <c r="I19" s="57" t="str">
        <f t="shared" si="2"/>
        <v>V</v>
      </c>
      <c r="J19" s="93">
        <f t="shared" si="5"/>
        <v>10.09</v>
      </c>
      <c r="K19" s="57" t="str">
        <f t="shared" si="3"/>
        <v>V</v>
      </c>
      <c r="L19" s="56">
        <f>ROUND(0.7%*C19+0.02,2)</f>
        <v>0.09</v>
      </c>
      <c r="M19" s="91" t="str">
        <f t="shared" si="0"/>
        <v/>
      </c>
      <c r="T19" s="55"/>
      <c r="U19"/>
    </row>
    <row r="20" spans="1:21" x14ac:dyDescent="0.25">
      <c r="B20" s="88"/>
      <c r="C20" s="69">
        <v>30</v>
      </c>
      <c r="D20" s="57" t="s">
        <v>84</v>
      </c>
      <c r="E20" s="89" t="str">
        <f t="shared" si="1"/>
        <v/>
      </c>
      <c r="F20" s="72"/>
      <c r="G20" s="72" t="s">
        <v>91</v>
      </c>
      <c r="H20" s="93">
        <f t="shared" si="4"/>
        <v>29.77</v>
      </c>
      <c r="I20" s="57" t="str">
        <f t="shared" si="2"/>
        <v>V</v>
      </c>
      <c r="J20" s="93">
        <f t="shared" si="5"/>
        <v>30.23</v>
      </c>
      <c r="K20" s="57" t="str">
        <f t="shared" si="3"/>
        <v>V</v>
      </c>
      <c r="L20" s="56">
        <f>ROUND(0.7%*C20+0.02,2)</f>
        <v>0.23</v>
      </c>
      <c r="M20" s="91" t="str">
        <f t="shared" si="0"/>
        <v/>
      </c>
      <c r="T20" s="55"/>
      <c r="U20"/>
    </row>
    <row r="21" spans="1:21" ht="15" customHeight="1" x14ac:dyDescent="0.25">
      <c r="B21" s="88" t="s">
        <v>121</v>
      </c>
      <c r="C21" s="69">
        <v>100</v>
      </c>
      <c r="D21" s="57" t="s">
        <v>84</v>
      </c>
      <c r="E21" s="89" t="str">
        <f t="shared" si="1"/>
        <v/>
      </c>
      <c r="F21" s="70"/>
      <c r="G21" s="70" t="s">
        <v>91</v>
      </c>
      <c r="H21" s="90">
        <f t="shared" si="4"/>
        <v>99.1</v>
      </c>
      <c r="I21" s="57" t="str">
        <f t="shared" si="2"/>
        <v>V</v>
      </c>
      <c r="J21" s="90">
        <f t="shared" si="5"/>
        <v>100.9</v>
      </c>
      <c r="K21" s="57" t="str">
        <f t="shared" si="3"/>
        <v>V</v>
      </c>
      <c r="L21" s="56">
        <f>ROUND(0.7%*C21+0.2,1)</f>
        <v>0.9</v>
      </c>
      <c r="M21" s="91" t="str">
        <f t="shared" si="0"/>
        <v/>
      </c>
    </row>
    <row r="22" spans="1:21" ht="15" customHeight="1" x14ac:dyDescent="0.25">
      <c r="B22" s="88"/>
      <c r="C22" s="69">
        <v>300</v>
      </c>
      <c r="D22" s="57" t="s">
        <v>84</v>
      </c>
      <c r="E22" s="89" t="str">
        <f t="shared" si="1"/>
        <v/>
      </c>
      <c r="F22" s="70"/>
      <c r="G22" s="70" t="s">
        <v>91</v>
      </c>
      <c r="H22" s="90">
        <f t="shared" si="4"/>
        <v>297.7</v>
      </c>
      <c r="I22" s="57" t="str">
        <f t="shared" si="2"/>
        <v>V</v>
      </c>
      <c r="J22" s="90">
        <f t="shared" si="5"/>
        <v>302.3</v>
      </c>
      <c r="K22" s="57" t="str">
        <f t="shared" si="3"/>
        <v>V</v>
      </c>
      <c r="L22" s="56">
        <f>ROUND(0.7%*C22+0.2,1)</f>
        <v>2.2999999999999998</v>
      </c>
      <c r="M22" s="91" t="str">
        <f t="shared" si="0"/>
        <v/>
      </c>
    </row>
    <row r="23" spans="1:21" x14ac:dyDescent="0.25">
      <c r="B23" s="88" t="s">
        <v>122</v>
      </c>
      <c r="C23" s="69">
        <v>100</v>
      </c>
      <c r="D23" s="57" t="s">
        <v>84</v>
      </c>
      <c r="E23" s="89" t="str">
        <f t="shared" si="1"/>
        <v/>
      </c>
      <c r="F23" s="73"/>
      <c r="G23" s="73" t="s">
        <v>91</v>
      </c>
      <c r="H23" s="94">
        <f t="shared" si="4"/>
        <v>97</v>
      </c>
      <c r="I23" s="57" t="str">
        <f t="shared" si="2"/>
        <v>V</v>
      </c>
      <c r="J23" s="94">
        <f t="shared" si="5"/>
        <v>103</v>
      </c>
      <c r="K23" s="57" t="str">
        <f t="shared" si="3"/>
        <v>V</v>
      </c>
      <c r="L23" s="56">
        <f>ROUND(0.7%*C23+2,0)</f>
        <v>3</v>
      </c>
      <c r="M23" s="91" t="str">
        <f t="shared" si="0"/>
        <v/>
      </c>
      <c r="T23" s="55"/>
      <c r="U23"/>
    </row>
    <row r="24" spans="1:21" x14ac:dyDescent="0.25">
      <c r="B24" s="88"/>
      <c r="C24" s="69">
        <v>800</v>
      </c>
      <c r="D24" s="57" t="s">
        <v>84</v>
      </c>
      <c r="E24" s="89" t="str">
        <f t="shared" si="1"/>
        <v/>
      </c>
      <c r="F24" s="73"/>
      <c r="G24" s="73" t="s">
        <v>91</v>
      </c>
      <c r="H24" s="94">
        <f t="shared" si="4"/>
        <v>792</v>
      </c>
      <c r="I24" s="57" t="str">
        <f t="shared" si="2"/>
        <v>V</v>
      </c>
      <c r="J24" s="94">
        <f t="shared" si="5"/>
        <v>808</v>
      </c>
      <c r="K24" s="57" t="str">
        <f t="shared" si="3"/>
        <v>V</v>
      </c>
      <c r="L24" s="56">
        <f>ROUND(0.7%*C24+2,0)</f>
        <v>8</v>
      </c>
      <c r="M24" s="91" t="str">
        <f t="shared" si="0"/>
        <v/>
      </c>
      <c r="T24" s="55"/>
      <c r="U24"/>
    </row>
    <row r="25" spans="1:21" x14ac:dyDescent="0.25">
      <c r="B25" s="26"/>
      <c r="C25" s="27"/>
      <c r="D25" s="57"/>
      <c r="E25" s="87"/>
      <c r="F25" s="89" t="s">
        <v>117</v>
      </c>
      <c r="G25" s="89" t="s">
        <v>117</v>
      </c>
      <c r="H25" s="66"/>
      <c r="I25" s="67"/>
      <c r="J25" s="66"/>
      <c r="K25" s="67"/>
      <c r="M25" s="59"/>
    </row>
    <row r="26" spans="1:21" x14ac:dyDescent="0.25">
      <c r="B26" s="138" t="s">
        <v>123</v>
      </c>
      <c r="C26" s="139"/>
      <c r="D26" s="140"/>
      <c r="E26" s="89"/>
      <c r="F26" s="89" t="s">
        <v>117</v>
      </c>
      <c r="G26" s="89" t="s">
        <v>117</v>
      </c>
      <c r="H26" s="135" t="s">
        <v>124</v>
      </c>
      <c r="I26" s="136"/>
      <c r="J26" s="136"/>
      <c r="K26" s="137"/>
      <c r="M26" s="59"/>
      <c r="P26" s="95"/>
      <c r="T26" s="55"/>
      <c r="U26"/>
    </row>
    <row r="27" spans="1:21" x14ac:dyDescent="0.25">
      <c r="B27" s="26" t="s">
        <v>125</v>
      </c>
      <c r="C27" s="69">
        <v>100</v>
      </c>
      <c r="D27" s="57" t="s">
        <v>99</v>
      </c>
      <c r="E27" s="89" t="str">
        <f t="shared" ref="E27:E29" si="7">IF(AND(F27&gt;=H27,F27&lt;=J27),"",IF(OR(F27="",F27="N/A"),"","*"))</f>
        <v/>
      </c>
      <c r="F27" s="72"/>
      <c r="G27" s="72" t="s">
        <v>91</v>
      </c>
      <c r="H27" s="93">
        <f>(C27-L27)</f>
        <v>99.98</v>
      </c>
      <c r="I27" s="96" t="str">
        <f t="shared" ref="I27:I29" si="8">(D27)</f>
        <v>Hz</v>
      </c>
      <c r="J27" s="93">
        <f>(L27+C27)</f>
        <v>100.02</v>
      </c>
      <c r="K27" s="96" t="str">
        <f t="shared" ref="K27:K29" si="9">(D27)</f>
        <v>Hz</v>
      </c>
      <c r="L27" s="56">
        <f>ROUND(0.005%*C27+0.01,2)</f>
        <v>0.02</v>
      </c>
      <c r="M27" s="91" t="str">
        <f t="shared" ref="M27:M29" si="10">IF(AND(G27&gt;=H27,G27&lt;=J27),"",IF(OR(G27="",G27="N/A"),"","*"))</f>
        <v/>
      </c>
      <c r="T27" s="55"/>
      <c r="U27"/>
    </row>
    <row r="28" spans="1:21" x14ac:dyDescent="0.25">
      <c r="B28" s="26" t="s">
        <v>126</v>
      </c>
      <c r="C28" s="69">
        <v>1000</v>
      </c>
      <c r="D28" s="57" t="s">
        <v>99</v>
      </c>
      <c r="E28" s="89" t="str">
        <f t="shared" si="7"/>
        <v/>
      </c>
      <c r="F28" s="70"/>
      <c r="G28" s="70" t="s">
        <v>91</v>
      </c>
      <c r="H28" s="90">
        <f>(C28-L28)</f>
        <v>999.8</v>
      </c>
      <c r="I28" s="57" t="str">
        <f t="shared" si="8"/>
        <v>Hz</v>
      </c>
      <c r="J28" s="90">
        <f>(L28+C28)</f>
        <v>1000.2</v>
      </c>
      <c r="K28" s="57" t="str">
        <f t="shared" si="9"/>
        <v>Hz</v>
      </c>
      <c r="L28" s="56">
        <f>ROUND(0.005%*C28+0.1,1)</f>
        <v>0.2</v>
      </c>
      <c r="M28" s="91" t="str">
        <f t="shared" si="10"/>
        <v/>
      </c>
      <c r="T28" s="55"/>
      <c r="U28"/>
    </row>
    <row r="29" spans="1:21" customFormat="1" x14ac:dyDescent="0.25">
      <c r="A29" s="59"/>
      <c r="B29" s="26" t="s">
        <v>127</v>
      </c>
      <c r="C29" s="69">
        <v>10</v>
      </c>
      <c r="D29" s="57" t="s">
        <v>86</v>
      </c>
      <c r="E29" s="89" t="str">
        <f t="shared" si="7"/>
        <v/>
      </c>
      <c r="F29" s="71"/>
      <c r="G29" s="71" t="s">
        <v>91</v>
      </c>
      <c r="H29" s="92">
        <f t="shared" ref="H29" si="11">(C29-L29)</f>
        <v>9.9979999999999993</v>
      </c>
      <c r="I29" s="97" t="str">
        <f t="shared" si="8"/>
        <v>kHz</v>
      </c>
      <c r="J29" s="92">
        <f t="shared" ref="J29" si="12">(L29+C29)</f>
        <v>10.002000000000001</v>
      </c>
      <c r="K29" s="97" t="str">
        <f t="shared" si="9"/>
        <v>kHz</v>
      </c>
      <c r="L29" s="56">
        <f>ROUND(0.005%*C29+0.001,3)</f>
        <v>2E-3</v>
      </c>
      <c r="M29" s="91" t="str">
        <f t="shared" si="10"/>
        <v/>
      </c>
      <c r="N29" s="59"/>
      <c r="O29" s="59"/>
      <c r="P29" s="59"/>
      <c r="Q29" s="59"/>
      <c r="R29" s="59"/>
    </row>
    <row r="30" spans="1:21" customFormat="1" x14ac:dyDescent="0.25">
      <c r="A30" s="59"/>
      <c r="B30" s="26"/>
      <c r="C30" s="69"/>
      <c r="D30" s="57"/>
      <c r="E30" s="89"/>
      <c r="F30" s="89" t="s">
        <v>117</v>
      </c>
      <c r="G30" s="89" t="s">
        <v>117</v>
      </c>
      <c r="H30" s="66"/>
      <c r="I30" s="67"/>
      <c r="J30" s="66"/>
      <c r="K30" s="67"/>
      <c r="L30" s="56"/>
      <c r="M30" s="82"/>
      <c r="N30" s="59"/>
      <c r="O30" s="59"/>
      <c r="P30" s="59"/>
      <c r="Q30" s="59"/>
      <c r="R30" s="59"/>
    </row>
    <row r="31" spans="1:21" x14ac:dyDescent="0.25">
      <c r="B31" s="138" t="s">
        <v>128</v>
      </c>
      <c r="C31" s="139"/>
      <c r="D31" s="140"/>
      <c r="E31" s="89"/>
      <c r="F31" s="89" t="s">
        <v>117</v>
      </c>
      <c r="G31" s="89" t="s">
        <v>117</v>
      </c>
      <c r="H31" s="135" t="s">
        <v>129</v>
      </c>
      <c r="I31" s="136"/>
      <c r="J31" s="136"/>
      <c r="K31" s="137"/>
      <c r="L31" s="56"/>
      <c r="M31" s="59"/>
      <c r="T31" s="55"/>
      <c r="U31"/>
    </row>
    <row r="32" spans="1:21" x14ac:dyDescent="0.25">
      <c r="B32" s="26" t="s">
        <v>119</v>
      </c>
      <c r="C32" s="69">
        <v>1</v>
      </c>
      <c r="D32" s="57" t="s">
        <v>84</v>
      </c>
      <c r="E32" s="89" t="str">
        <f t="shared" ref="E32:E33" si="13">IF(AND(F32&gt;=H32,F32&lt;=J32),"",IF(OR(F32="",F32="N/A"),"","*"))</f>
        <v/>
      </c>
      <c r="F32" s="71"/>
      <c r="G32" s="71" t="s">
        <v>91</v>
      </c>
      <c r="H32" s="92">
        <f>(C32-L32)</f>
        <v>0.998</v>
      </c>
      <c r="I32" s="57" t="str">
        <f t="shared" ref="I32:I33" si="14">(D32)</f>
        <v>V</v>
      </c>
      <c r="J32" s="92">
        <f>(L32+C32)</f>
        <v>1.002</v>
      </c>
      <c r="K32" s="57" t="str">
        <f t="shared" ref="K32:K33" si="15">(D32)</f>
        <v>V</v>
      </c>
      <c r="L32" s="56">
        <f>ROUND(0.1%*C32+0.001,3)</f>
        <v>2E-3</v>
      </c>
      <c r="M32" s="91" t="str">
        <f t="shared" ref="M32:M39" si="16">IF(AND(G32&gt;=H32,G32&lt;=J32),"",IF(OR(G32="",G32="N/A"),"","*"))</f>
        <v/>
      </c>
      <c r="T32" s="55"/>
      <c r="U32"/>
    </row>
    <row r="33" spans="1:21" x14ac:dyDescent="0.25">
      <c r="B33" s="26"/>
      <c r="C33" s="69">
        <v>3</v>
      </c>
      <c r="D33" s="57" t="s">
        <v>84</v>
      </c>
      <c r="E33" s="89" t="str">
        <f t="shared" si="13"/>
        <v/>
      </c>
      <c r="F33" s="71"/>
      <c r="G33" s="71" t="s">
        <v>91</v>
      </c>
      <c r="H33" s="92">
        <f>(C33-L33)</f>
        <v>2.996</v>
      </c>
      <c r="I33" s="57" t="str">
        <f t="shared" si="14"/>
        <v>V</v>
      </c>
      <c r="J33" s="92">
        <f>(L33+C33)</f>
        <v>3.004</v>
      </c>
      <c r="K33" s="57" t="str">
        <f t="shared" si="15"/>
        <v>V</v>
      </c>
      <c r="L33" s="56">
        <f t="shared" ref="L33" si="17">ROUND(0.1%*C33+0.001,3)</f>
        <v>4.0000000000000001E-3</v>
      </c>
      <c r="M33" s="91" t="str">
        <f t="shared" si="16"/>
        <v/>
      </c>
      <c r="T33" s="55"/>
      <c r="U33"/>
    </row>
    <row r="34" spans="1:21" customFormat="1" x14ac:dyDescent="0.25">
      <c r="A34" s="59"/>
      <c r="B34" s="26" t="s">
        <v>120</v>
      </c>
      <c r="C34" s="69">
        <v>10</v>
      </c>
      <c r="D34" s="57" t="s">
        <v>84</v>
      </c>
      <c r="E34" s="89" t="str">
        <f>IF(AND(F34&gt;=H34,F34&lt;=J34),"",IF(OR(F34="",F34="N/A"),"","*"))</f>
        <v/>
      </c>
      <c r="F34" s="72"/>
      <c r="G34" s="72" t="s">
        <v>91</v>
      </c>
      <c r="H34" s="93">
        <f t="shared" ref="H34:H39" si="18">(C34-L34)</f>
        <v>9.98</v>
      </c>
      <c r="I34" s="57" t="s">
        <v>84</v>
      </c>
      <c r="J34" s="93">
        <f t="shared" ref="J34:J39" si="19">(L34+C34)</f>
        <v>10.02</v>
      </c>
      <c r="K34" s="57" t="s">
        <v>84</v>
      </c>
      <c r="L34" s="56">
        <f>ROUND(0.1%*C34+0.01,2)</f>
        <v>0.02</v>
      </c>
      <c r="M34" s="91" t="str">
        <f t="shared" si="16"/>
        <v/>
      </c>
      <c r="N34" s="59"/>
      <c r="O34" s="59"/>
      <c r="P34" s="59"/>
      <c r="Q34" s="59"/>
      <c r="R34" s="59"/>
    </row>
    <row r="35" spans="1:21" customFormat="1" x14ac:dyDescent="0.25">
      <c r="A35" s="59"/>
      <c r="B35" s="26"/>
      <c r="C35" s="69">
        <v>30</v>
      </c>
      <c r="D35" s="57" t="s">
        <v>84</v>
      </c>
      <c r="E35" s="89" t="str">
        <f t="shared" ref="E35:E39" si="20">IF(AND(F35&gt;=H35,F35&lt;=J35),"",IF(OR(F35="",F35="N/A"),"","*"))</f>
        <v/>
      </c>
      <c r="F35" s="72"/>
      <c r="G35" s="72" t="s">
        <v>91</v>
      </c>
      <c r="H35" s="93">
        <f t="shared" si="18"/>
        <v>29.96</v>
      </c>
      <c r="I35" s="57" t="s">
        <v>84</v>
      </c>
      <c r="J35" s="93">
        <f t="shared" si="19"/>
        <v>30.04</v>
      </c>
      <c r="K35" s="57" t="s">
        <v>84</v>
      </c>
      <c r="L35" s="56">
        <f>ROUND(0.1%*C35+0.01,2)</f>
        <v>0.04</v>
      </c>
      <c r="M35" s="91" t="str">
        <f t="shared" si="16"/>
        <v/>
      </c>
      <c r="N35" s="59"/>
      <c r="O35" s="59"/>
      <c r="P35" s="59"/>
      <c r="Q35" s="59"/>
      <c r="R35" s="59"/>
    </row>
    <row r="36" spans="1:21" customFormat="1" x14ac:dyDescent="0.25">
      <c r="A36" s="59"/>
      <c r="B36" s="26" t="s">
        <v>121</v>
      </c>
      <c r="C36" s="69">
        <v>100</v>
      </c>
      <c r="D36" s="57" t="s">
        <v>84</v>
      </c>
      <c r="E36" s="89" t="str">
        <f t="shared" si="20"/>
        <v/>
      </c>
      <c r="F36" s="70"/>
      <c r="G36" s="70" t="s">
        <v>91</v>
      </c>
      <c r="H36" s="90">
        <f t="shared" si="18"/>
        <v>99.8</v>
      </c>
      <c r="I36" s="98" t="s">
        <v>84</v>
      </c>
      <c r="J36" s="90">
        <f t="shared" si="19"/>
        <v>100.2</v>
      </c>
      <c r="K36" s="98" t="s">
        <v>84</v>
      </c>
      <c r="L36" s="56">
        <f>ROUND(0.1%*C36+0.1,1)</f>
        <v>0.2</v>
      </c>
      <c r="M36" s="91" t="str">
        <f t="shared" si="16"/>
        <v/>
      </c>
      <c r="N36" s="59"/>
      <c r="O36" s="59"/>
      <c r="P36" s="59"/>
      <c r="Q36" s="59"/>
      <c r="R36" s="59"/>
    </row>
    <row r="37" spans="1:21" customFormat="1" x14ac:dyDescent="0.25">
      <c r="A37" s="59"/>
      <c r="B37" s="26"/>
      <c r="C37" s="69">
        <v>300</v>
      </c>
      <c r="D37" s="57" t="s">
        <v>84</v>
      </c>
      <c r="E37" s="89" t="str">
        <f t="shared" si="20"/>
        <v/>
      </c>
      <c r="F37" s="70"/>
      <c r="G37" s="70" t="s">
        <v>91</v>
      </c>
      <c r="H37" s="90">
        <f t="shared" si="18"/>
        <v>299.60000000000002</v>
      </c>
      <c r="I37" s="98" t="s">
        <v>84</v>
      </c>
      <c r="J37" s="90">
        <f t="shared" si="19"/>
        <v>300.39999999999998</v>
      </c>
      <c r="K37" s="98" t="s">
        <v>84</v>
      </c>
      <c r="L37" s="56">
        <f>ROUND(0.1%*C37+0.1,1)</f>
        <v>0.4</v>
      </c>
      <c r="M37" s="91" t="str">
        <f t="shared" si="16"/>
        <v/>
      </c>
      <c r="N37" s="59"/>
      <c r="O37" s="59"/>
      <c r="P37" s="59"/>
      <c r="Q37" s="59"/>
      <c r="R37" s="59"/>
    </row>
    <row r="38" spans="1:21" customFormat="1" x14ac:dyDescent="0.25">
      <c r="A38" s="59"/>
      <c r="B38" s="26" t="s">
        <v>122</v>
      </c>
      <c r="C38" s="69">
        <v>100</v>
      </c>
      <c r="D38" s="57" t="s">
        <v>84</v>
      </c>
      <c r="E38" s="89" t="str">
        <f t="shared" si="20"/>
        <v/>
      </c>
      <c r="F38" s="73"/>
      <c r="G38" s="73" t="s">
        <v>91</v>
      </c>
      <c r="H38" s="94">
        <f t="shared" si="18"/>
        <v>99</v>
      </c>
      <c r="I38" s="99" t="s">
        <v>84</v>
      </c>
      <c r="J38" s="94">
        <f t="shared" si="19"/>
        <v>101</v>
      </c>
      <c r="K38" s="99" t="s">
        <v>84</v>
      </c>
      <c r="L38" s="56">
        <f>ROUND(0.1%*C38+1,0)</f>
        <v>1</v>
      </c>
      <c r="M38" s="91" t="str">
        <f t="shared" si="16"/>
        <v/>
      </c>
      <c r="N38" s="59"/>
      <c r="O38" s="59"/>
      <c r="P38" s="59"/>
      <c r="Q38" s="59"/>
      <c r="R38" s="59"/>
    </row>
    <row r="39" spans="1:21" customFormat="1" x14ac:dyDescent="0.25">
      <c r="A39" s="59"/>
      <c r="B39" s="26"/>
      <c r="C39" s="69">
        <v>800</v>
      </c>
      <c r="D39" s="57" t="s">
        <v>84</v>
      </c>
      <c r="E39" s="89" t="str">
        <f t="shared" si="20"/>
        <v/>
      </c>
      <c r="F39" s="73"/>
      <c r="G39" s="73" t="s">
        <v>91</v>
      </c>
      <c r="H39" s="94">
        <f t="shared" si="18"/>
        <v>798</v>
      </c>
      <c r="I39" s="99" t="s">
        <v>84</v>
      </c>
      <c r="J39" s="94">
        <f t="shared" si="19"/>
        <v>802</v>
      </c>
      <c r="K39" s="99" t="s">
        <v>84</v>
      </c>
      <c r="L39" s="56">
        <f>ROUND(0.1%*C39+1,0)</f>
        <v>2</v>
      </c>
      <c r="M39" s="91" t="str">
        <f t="shared" si="16"/>
        <v/>
      </c>
      <c r="N39" s="59"/>
      <c r="O39" s="59"/>
      <c r="P39" s="59"/>
      <c r="Q39" s="59"/>
      <c r="R39" s="59"/>
    </row>
    <row r="40" spans="1:21" x14ac:dyDescent="0.25">
      <c r="B40" s="138" t="s">
        <v>130</v>
      </c>
      <c r="C40" s="139"/>
      <c r="D40" s="140"/>
      <c r="E40" s="89"/>
      <c r="F40" s="89" t="s">
        <v>117</v>
      </c>
      <c r="G40" s="89" t="s">
        <v>117</v>
      </c>
      <c r="H40" s="135" t="s">
        <v>129</v>
      </c>
      <c r="I40" s="136"/>
      <c r="J40" s="136"/>
      <c r="K40" s="137"/>
      <c r="M40" s="59"/>
      <c r="T40" s="55"/>
      <c r="U40"/>
    </row>
    <row r="41" spans="1:21" x14ac:dyDescent="0.25">
      <c r="B41" s="88" t="s">
        <v>116</v>
      </c>
      <c r="C41" s="69">
        <v>100</v>
      </c>
      <c r="D41" s="57" t="s">
        <v>78</v>
      </c>
      <c r="E41" s="89" t="str">
        <f t="shared" ref="E41:E42" si="21">IF(AND(F41&gt;=H41,F41&lt;=J41),"",IF(OR(F41="",F41="N/A"),"","*"))</f>
        <v/>
      </c>
      <c r="F41" s="70"/>
      <c r="G41" s="70" t="s">
        <v>91</v>
      </c>
      <c r="H41" s="90">
        <f>(C41-L41)</f>
        <v>99.8</v>
      </c>
      <c r="I41" s="57" t="str">
        <f t="shared" ref="I41:I42" si="22">(D41)</f>
        <v>mV</v>
      </c>
      <c r="J41" s="90">
        <f>(L41+C41)</f>
        <v>100.2</v>
      </c>
      <c r="K41" s="57" t="str">
        <f t="shared" ref="K41:K42" si="23">(D41)</f>
        <v>mV</v>
      </c>
      <c r="L41" s="56">
        <f>ROUND(0.1%*C41+0.1,1)</f>
        <v>0.2</v>
      </c>
      <c r="M41" s="91" t="str">
        <f t="shared" ref="M41:M42" si="24">IF(AND(G41&gt;=H41,G41&lt;=J41),"",IF(OR(G41="",G41="N/A"),"","*"))</f>
        <v/>
      </c>
      <c r="N41" s="59" t="s">
        <v>183</v>
      </c>
      <c r="T41" s="55"/>
      <c r="U41"/>
    </row>
    <row r="42" spans="1:21" x14ac:dyDescent="0.25">
      <c r="B42" s="26"/>
      <c r="C42" s="69">
        <v>300</v>
      </c>
      <c r="D42" s="57" t="s">
        <v>78</v>
      </c>
      <c r="E42" s="89" t="str">
        <f t="shared" si="21"/>
        <v/>
      </c>
      <c r="F42" s="70"/>
      <c r="G42" s="70" t="s">
        <v>91</v>
      </c>
      <c r="H42" s="90">
        <f>(C42-L42)</f>
        <v>299.60000000000002</v>
      </c>
      <c r="I42" s="57" t="str">
        <f t="shared" si="22"/>
        <v>mV</v>
      </c>
      <c r="J42" s="90">
        <f>(L42+C42)</f>
        <v>300.39999999999998</v>
      </c>
      <c r="K42" s="57" t="str">
        <f t="shared" si="23"/>
        <v>mV</v>
      </c>
      <c r="L42" s="56">
        <f>ROUND(0.1%*C42+0.1,1)</f>
        <v>0.4</v>
      </c>
      <c r="M42" s="91" t="str">
        <f t="shared" si="24"/>
        <v/>
      </c>
      <c r="T42" s="55"/>
      <c r="U42"/>
    </row>
    <row r="43" spans="1:21" x14ac:dyDescent="0.25">
      <c r="B43" s="26"/>
      <c r="C43" s="27"/>
      <c r="D43" s="57"/>
      <c r="E43" s="87"/>
      <c r="F43" s="89" t="s">
        <v>117</v>
      </c>
      <c r="G43" s="89" t="s">
        <v>117</v>
      </c>
      <c r="H43" s="66"/>
      <c r="I43" s="67"/>
      <c r="J43" s="66"/>
      <c r="K43" s="67"/>
      <c r="M43" s="59"/>
    </row>
    <row r="44" spans="1:21" customFormat="1" x14ac:dyDescent="0.25">
      <c r="A44" s="59"/>
      <c r="B44" s="135" t="s">
        <v>131</v>
      </c>
      <c r="C44" s="136"/>
      <c r="D44" s="137"/>
      <c r="E44" s="89"/>
      <c r="F44" s="89" t="s">
        <v>117</v>
      </c>
      <c r="G44" s="89" t="s">
        <v>117</v>
      </c>
      <c r="H44" s="135" t="s">
        <v>132</v>
      </c>
      <c r="I44" s="136"/>
      <c r="J44" s="136"/>
      <c r="K44" s="137"/>
      <c r="L44" s="56"/>
      <c r="M44" s="59"/>
      <c r="N44" s="59"/>
      <c r="O44" s="59"/>
      <c r="P44" s="59"/>
      <c r="Q44" s="59"/>
      <c r="R44" s="59"/>
    </row>
    <row r="45" spans="1:21" ht="15" customHeight="1" x14ac:dyDescent="0.25">
      <c r="B45" s="88" t="s">
        <v>133</v>
      </c>
      <c r="C45" s="69">
        <v>120</v>
      </c>
      <c r="D45" s="57" t="s">
        <v>85</v>
      </c>
      <c r="E45" s="89" t="str">
        <f>IF(AND(F45&gt;=H45,F45&lt;=J45),"",IF(OR(F45="",F45="N/A"),"","*"))</f>
        <v/>
      </c>
      <c r="F45" s="70"/>
      <c r="G45" s="70" t="s">
        <v>91</v>
      </c>
      <c r="H45" s="90">
        <f t="shared" ref="H45:H54" si="25">(C45-L45)</f>
        <v>119.6</v>
      </c>
      <c r="I45" s="57" t="str">
        <f>(D45)</f>
        <v>Ω</v>
      </c>
      <c r="J45" s="90">
        <f t="shared" ref="J45:J54" si="26">(L45+C45)</f>
        <v>120.4</v>
      </c>
      <c r="K45" s="57" t="str">
        <f>(D45)</f>
        <v>Ω</v>
      </c>
      <c r="L45" s="56">
        <f>ROUND(0.2%*C45+0.2,1)</f>
        <v>0.4</v>
      </c>
      <c r="M45" s="91" t="str">
        <f>IF(AND(G45&gt;=H45,G45&lt;=J45),"",IF(OR(G45="",G45="N/A"),"","*"))</f>
        <v/>
      </c>
    </row>
    <row r="46" spans="1:21" ht="15" customHeight="1" x14ac:dyDescent="0.25">
      <c r="B46" s="88"/>
      <c r="C46" s="69">
        <v>300</v>
      </c>
      <c r="D46" s="57" t="s">
        <v>85</v>
      </c>
      <c r="E46" s="89" t="str">
        <f t="shared" ref="E46:E54" si="27">IF(AND(F46&gt;=H46,F46&lt;=J46),"",IF(OR(F46="",F46="N/A"),"","*"))</f>
        <v/>
      </c>
      <c r="F46" s="70"/>
      <c r="G46" s="70" t="s">
        <v>91</v>
      </c>
      <c r="H46" s="90">
        <f t="shared" si="25"/>
        <v>299.2</v>
      </c>
      <c r="I46" s="57" t="str">
        <f t="shared" ref="I46:I54" si="28">(D46)</f>
        <v>Ω</v>
      </c>
      <c r="J46" s="90">
        <f t="shared" si="26"/>
        <v>300.8</v>
      </c>
      <c r="K46" s="57" t="str">
        <f t="shared" ref="K46:K54" si="29">(D46)</f>
        <v>Ω</v>
      </c>
      <c r="L46" s="56">
        <f>ROUND(0.2%*C46+0.2,1)</f>
        <v>0.8</v>
      </c>
      <c r="M46" s="91" t="str">
        <f t="shared" ref="M46:M54" si="30">IF(AND(G46&gt;=H46,G46&lt;=J46),"",IF(OR(G46="",G46="N/A"),"","*"))</f>
        <v/>
      </c>
    </row>
    <row r="47" spans="1:21" ht="15" customHeight="1" x14ac:dyDescent="0.25">
      <c r="B47" s="88"/>
      <c r="C47" s="69"/>
      <c r="D47" s="57"/>
      <c r="E47" s="89"/>
      <c r="F47" s="89" t="s">
        <v>117</v>
      </c>
      <c r="G47" s="89" t="s">
        <v>117</v>
      </c>
      <c r="H47" s="144" t="s">
        <v>134</v>
      </c>
      <c r="I47" s="145"/>
      <c r="J47" s="145"/>
      <c r="K47" s="146"/>
      <c r="L47" s="56"/>
      <c r="M47" s="56"/>
    </row>
    <row r="48" spans="1:21" x14ac:dyDescent="0.25">
      <c r="B48" s="88" t="s">
        <v>135</v>
      </c>
      <c r="C48" s="69">
        <v>1.2</v>
      </c>
      <c r="D48" s="57" t="s">
        <v>136</v>
      </c>
      <c r="E48" s="89" t="str">
        <f t="shared" si="27"/>
        <v/>
      </c>
      <c r="F48" s="71"/>
      <c r="G48" s="71" t="s">
        <v>91</v>
      </c>
      <c r="H48" s="92">
        <f t="shared" si="25"/>
        <v>1.1970000000000001</v>
      </c>
      <c r="I48" s="57" t="str">
        <f t="shared" si="28"/>
        <v>kΩ</v>
      </c>
      <c r="J48" s="92">
        <f t="shared" si="26"/>
        <v>1.2029999999999998</v>
      </c>
      <c r="K48" s="57" t="str">
        <f t="shared" si="29"/>
        <v>kΩ</v>
      </c>
      <c r="L48" s="56">
        <f>ROUND(0.2%*C48+0.001,3)</f>
        <v>3.0000000000000001E-3</v>
      </c>
      <c r="M48" s="91" t="str">
        <f t="shared" si="30"/>
        <v/>
      </c>
      <c r="T48" s="55"/>
      <c r="U48"/>
    </row>
    <row r="49" spans="1:21" x14ac:dyDescent="0.25">
      <c r="B49" s="88"/>
      <c r="C49" s="69">
        <v>3</v>
      </c>
      <c r="D49" s="57" t="s">
        <v>136</v>
      </c>
      <c r="E49" s="89" t="str">
        <f t="shared" si="27"/>
        <v/>
      </c>
      <c r="F49" s="71"/>
      <c r="G49" s="71" t="s">
        <v>91</v>
      </c>
      <c r="H49" s="92">
        <f t="shared" si="25"/>
        <v>2.9929999999999999</v>
      </c>
      <c r="I49" s="57" t="str">
        <f t="shared" si="28"/>
        <v>kΩ</v>
      </c>
      <c r="J49" s="92">
        <f t="shared" si="26"/>
        <v>3.0070000000000001</v>
      </c>
      <c r="K49" s="57" t="str">
        <f t="shared" si="29"/>
        <v>kΩ</v>
      </c>
      <c r="L49" s="56">
        <f>ROUND(0.2%*C49+0.001,3)</f>
        <v>7.0000000000000001E-3</v>
      </c>
      <c r="M49" s="91" t="str">
        <f t="shared" si="30"/>
        <v/>
      </c>
      <c r="T49" s="55"/>
      <c r="U49"/>
    </row>
    <row r="50" spans="1:21" ht="15" customHeight="1" x14ac:dyDescent="0.25">
      <c r="B50" s="88" t="s">
        <v>137</v>
      </c>
      <c r="C50" s="69">
        <v>12</v>
      </c>
      <c r="D50" s="57" t="s">
        <v>136</v>
      </c>
      <c r="E50" s="89" t="str">
        <f t="shared" si="27"/>
        <v/>
      </c>
      <c r="F50" s="72"/>
      <c r="G50" s="72" t="s">
        <v>91</v>
      </c>
      <c r="H50" s="93">
        <f t="shared" si="25"/>
        <v>11.97</v>
      </c>
      <c r="I50" s="96" t="str">
        <f t="shared" si="28"/>
        <v>kΩ</v>
      </c>
      <c r="J50" s="93">
        <f t="shared" si="26"/>
        <v>12.03</v>
      </c>
      <c r="K50" s="96" t="str">
        <f t="shared" si="29"/>
        <v>kΩ</v>
      </c>
      <c r="L50" s="56">
        <f>ROUND(0.2%*C50+0.01,2)</f>
        <v>0.03</v>
      </c>
      <c r="M50" s="91" t="str">
        <f t="shared" si="30"/>
        <v/>
      </c>
    </row>
    <row r="51" spans="1:21" ht="15" customHeight="1" x14ac:dyDescent="0.25">
      <c r="B51" s="88"/>
      <c r="C51" s="69">
        <v>30</v>
      </c>
      <c r="D51" s="57" t="s">
        <v>136</v>
      </c>
      <c r="E51" s="89" t="str">
        <f t="shared" si="27"/>
        <v/>
      </c>
      <c r="F51" s="72"/>
      <c r="G51" s="72" t="s">
        <v>91</v>
      </c>
      <c r="H51" s="93">
        <f t="shared" si="25"/>
        <v>29.93</v>
      </c>
      <c r="I51" s="96" t="str">
        <f t="shared" si="28"/>
        <v>kΩ</v>
      </c>
      <c r="J51" s="93">
        <f t="shared" si="26"/>
        <v>30.07</v>
      </c>
      <c r="K51" s="96" t="str">
        <f t="shared" si="29"/>
        <v>kΩ</v>
      </c>
      <c r="L51" s="56">
        <f>ROUND(0.2%*C51+0.01,2)</f>
        <v>7.0000000000000007E-2</v>
      </c>
      <c r="M51" s="91" t="str">
        <f t="shared" si="30"/>
        <v/>
      </c>
    </row>
    <row r="52" spans="1:21" ht="15" customHeight="1" x14ac:dyDescent="0.25">
      <c r="B52" s="88" t="s">
        <v>138</v>
      </c>
      <c r="C52" s="69">
        <v>120</v>
      </c>
      <c r="D52" s="57" t="s">
        <v>136</v>
      </c>
      <c r="E52" s="89" t="str">
        <f t="shared" si="27"/>
        <v/>
      </c>
      <c r="F52" s="70"/>
      <c r="G52" s="70" t="s">
        <v>91</v>
      </c>
      <c r="H52" s="90">
        <f t="shared" si="25"/>
        <v>119.7</v>
      </c>
      <c r="I52" s="98" t="str">
        <f t="shared" si="28"/>
        <v>kΩ</v>
      </c>
      <c r="J52" s="90">
        <f t="shared" si="26"/>
        <v>120.3</v>
      </c>
      <c r="K52" s="98" t="str">
        <f t="shared" si="29"/>
        <v>kΩ</v>
      </c>
      <c r="L52" s="56">
        <f>ROUND(0.2%*C52+0.1,1)</f>
        <v>0.3</v>
      </c>
      <c r="M52" s="91" t="str">
        <f t="shared" si="30"/>
        <v/>
      </c>
    </row>
    <row r="53" spans="1:21" ht="15" customHeight="1" x14ac:dyDescent="0.25">
      <c r="B53" s="88"/>
      <c r="C53" s="69">
        <v>200</v>
      </c>
      <c r="D53" s="57" t="s">
        <v>136</v>
      </c>
      <c r="E53" s="89" t="str">
        <f t="shared" si="27"/>
        <v/>
      </c>
      <c r="F53" s="70"/>
      <c r="G53" s="70" t="s">
        <v>91</v>
      </c>
      <c r="H53" s="90">
        <f t="shared" si="25"/>
        <v>199.5</v>
      </c>
      <c r="I53" s="98" t="str">
        <f t="shared" si="28"/>
        <v>kΩ</v>
      </c>
      <c r="J53" s="90">
        <f t="shared" si="26"/>
        <v>200.5</v>
      </c>
      <c r="K53" s="98" t="str">
        <f t="shared" si="29"/>
        <v>kΩ</v>
      </c>
      <c r="L53" s="56">
        <f>ROUND(0.2%*C53+0.1,1)</f>
        <v>0.5</v>
      </c>
      <c r="M53" s="91" t="str">
        <f t="shared" si="30"/>
        <v/>
      </c>
    </row>
    <row r="54" spans="1:21" ht="15" customHeight="1" x14ac:dyDescent="0.25">
      <c r="B54" s="88"/>
      <c r="C54" s="69">
        <v>300</v>
      </c>
      <c r="D54" s="57" t="s">
        <v>136</v>
      </c>
      <c r="E54" s="89" t="str">
        <f t="shared" si="27"/>
        <v/>
      </c>
      <c r="F54" s="70"/>
      <c r="G54" s="70" t="s">
        <v>91</v>
      </c>
      <c r="H54" s="90">
        <f t="shared" si="25"/>
        <v>299.3</v>
      </c>
      <c r="I54" s="98" t="str">
        <f t="shared" si="28"/>
        <v>kΩ</v>
      </c>
      <c r="J54" s="90">
        <f t="shared" si="26"/>
        <v>300.7</v>
      </c>
      <c r="K54" s="98" t="str">
        <f t="shared" si="29"/>
        <v>kΩ</v>
      </c>
      <c r="L54" s="56">
        <f>ROUND(0.2%*C54+0.1,1)</f>
        <v>0.7</v>
      </c>
      <c r="M54" s="91" t="str">
        <f t="shared" si="30"/>
        <v/>
      </c>
    </row>
    <row r="55" spans="1:21" ht="15" customHeight="1" x14ac:dyDescent="0.25">
      <c r="B55" s="88"/>
      <c r="C55" s="69"/>
      <c r="D55" s="57"/>
      <c r="E55" s="89"/>
      <c r="F55" s="89" t="s">
        <v>117</v>
      </c>
      <c r="G55" s="89" t="s">
        <v>117</v>
      </c>
      <c r="H55" s="147" t="s">
        <v>139</v>
      </c>
      <c r="I55" s="148"/>
      <c r="J55" s="148"/>
      <c r="K55" s="149"/>
      <c r="L55" s="56"/>
      <c r="M55" s="56"/>
    </row>
    <row r="56" spans="1:21" ht="15" customHeight="1" x14ac:dyDescent="0.25">
      <c r="B56" s="88" t="s">
        <v>140</v>
      </c>
      <c r="C56" s="69">
        <v>1.2</v>
      </c>
      <c r="D56" s="57" t="s">
        <v>141</v>
      </c>
      <c r="E56" s="89" t="str">
        <f>IF(AND(F56&gt;=H56,F56&lt;=J56),"",IF(OR(F56="",F56="N/A"),"","*"))</f>
        <v/>
      </c>
      <c r="F56" s="71"/>
      <c r="G56" s="71" t="s">
        <v>91</v>
      </c>
      <c r="H56" s="92">
        <f t="shared" ref="H56:H60" si="31">(C56-L56)</f>
        <v>1.1930000000000001</v>
      </c>
      <c r="I56" s="57" t="str">
        <f>(D56)</f>
        <v>MΩ</v>
      </c>
      <c r="J56" s="92">
        <f t="shared" ref="J56:J60" si="32">(L56+C56)</f>
        <v>1.2069999999999999</v>
      </c>
      <c r="K56" s="57" t="str">
        <f>(D56)</f>
        <v>MΩ</v>
      </c>
      <c r="L56" s="56">
        <f>ROUND(0.35%*C56+0.003,3)</f>
        <v>7.0000000000000001E-3</v>
      </c>
      <c r="M56" s="91" t="str">
        <f>IF(AND(G56&gt;=H56,G56&lt;=J56),"",IF(OR(G56="",G56="N/A"),"","*"))</f>
        <v/>
      </c>
    </row>
    <row r="57" spans="1:21" ht="15" customHeight="1" x14ac:dyDescent="0.25">
      <c r="B57" s="88"/>
      <c r="C57" s="69">
        <v>3</v>
      </c>
      <c r="D57" s="57" t="s">
        <v>141</v>
      </c>
      <c r="E57" s="89" t="str">
        <f>IF(AND(F57&gt;=H57,F57&lt;=J57),"",IF(OR(F57="",F57="N/A"),"","*"))</f>
        <v/>
      </c>
      <c r="F57" s="71"/>
      <c r="G57" s="71" t="s">
        <v>91</v>
      </c>
      <c r="H57" s="92">
        <f t="shared" si="31"/>
        <v>2.9860000000000002</v>
      </c>
      <c r="I57" s="57" t="str">
        <f>(D57)</f>
        <v>MΩ</v>
      </c>
      <c r="J57" s="92">
        <f t="shared" si="32"/>
        <v>3.0139999999999998</v>
      </c>
      <c r="K57" s="57" t="str">
        <f>(D57)</f>
        <v>MΩ</v>
      </c>
      <c r="L57" s="56">
        <f>ROUND(0.35%*C57+0.003,3)</f>
        <v>1.4E-2</v>
      </c>
      <c r="M57" s="91" t="str">
        <f>IF(AND(G57&gt;=H57,G57&lt;=J57),"",IF(OR(G57="",G57="N/A"),"","*"))</f>
        <v/>
      </c>
    </row>
    <row r="58" spans="1:21" ht="15" customHeight="1" x14ac:dyDescent="0.25">
      <c r="B58" s="88"/>
      <c r="C58" s="69"/>
      <c r="D58" s="57"/>
      <c r="E58" s="89"/>
      <c r="F58" s="89" t="s">
        <v>117</v>
      </c>
      <c r="G58" s="89" t="s">
        <v>117</v>
      </c>
      <c r="H58" s="147" t="s">
        <v>142</v>
      </c>
      <c r="I58" s="148"/>
      <c r="J58" s="148"/>
      <c r="K58" s="149"/>
      <c r="L58" s="56"/>
      <c r="M58" s="56"/>
    </row>
    <row r="59" spans="1:21" ht="15" customHeight="1" x14ac:dyDescent="0.25">
      <c r="B59" s="88" t="s">
        <v>143</v>
      </c>
      <c r="C59" s="69">
        <v>12</v>
      </c>
      <c r="D59" s="57" t="s">
        <v>141</v>
      </c>
      <c r="E59" s="89" t="str">
        <f t="shared" ref="E59:E60" si="33">IF(AND(F59&gt;=H59,F59&lt;=J59),"",IF(OR(F59="",F59="N/A"),"","*"))</f>
        <v/>
      </c>
      <c r="F59" s="72"/>
      <c r="G59" s="72" t="s">
        <v>91</v>
      </c>
      <c r="H59" s="93">
        <f t="shared" si="31"/>
        <v>11.67</v>
      </c>
      <c r="I59" s="57" t="str">
        <f t="shared" ref="I59:I60" si="34">(D59)</f>
        <v>MΩ</v>
      </c>
      <c r="J59" s="93">
        <f t="shared" si="32"/>
        <v>12.33</v>
      </c>
      <c r="K59" s="57" t="str">
        <f t="shared" ref="K59:K60" si="35">(D59)</f>
        <v>MΩ</v>
      </c>
      <c r="L59" s="56">
        <f>ROUND(2.5%*C59+0.03,2)</f>
        <v>0.33</v>
      </c>
      <c r="M59" s="91" t="str">
        <f t="shared" ref="M59:M60" si="36">IF(AND(G59&gt;=H59,G59&lt;=J59),"",IF(OR(G59="",G59="N/A"),"","*"))</f>
        <v/>
      </c>
    </row>
    <row r="60" spans="1:21" ht="15" customHeight="1" x14ac:dyDescent="0.25">
      <c r="B60" s="88"/>
      <c r="C60" s="69">
        <v>30</v>
      </c>
      <c r="D60" s="57" t="s">
        <v>141</v>
      </c>
      <c r="E60" s="89" t="str">
        <f t="shared" si="33"/>
        <v/>
      </c>
      <c r="F60" s="72"/>
      <c r="G60" s="72" t="s">
        <v>91</v>
      </c>
      <c r="H60" s="93">
        <f t="shared" si="31"/>
        <v>29.22</v>
      </c>
      <c r="I60" s="57" t="str">
        <f t="shared" si="34"/>
        <v>MΩ</v>
      </c>
      <c r="J60" s="93">
        <f t="shared" si="32"/>
        <v>30.78</v>
      </c>
      <c r="K60" s="57" t="str">
        <f t="shared" si="35"/>
        <v>MΩ</v>
      </c>
      <c r="L60" s="56">
        <f>ROUND(2.5%*C60+0.03,2)</f>
        <v>0.78</v>
      </c>
      <c r="M60" s="91" t="str">
        <f t="shared" si="36"/>
        <v/>
      </c>
    </row>
    <row r="61" spans="1:21" customFormat="1" x14ac:dyDescent="0.25">
      <c r="A61" s="59"/>
      <c r="B61" s="26"/>
      <c r="C61" s="69"/>
      <c r="D61" s="57"/>
      <c r="E61" s="89"/>
      <c r="F61" s="89" t="s">
        <v>117</v>
      </c>
      <c r="G61" s="89" t="s">
        <v>117</v>
      </c>
      <c r="H61" s="66"/>
      <c r="I61" s="67"/>
      <c r="J61" s="66"/>
      <c r="K61" s="67"/>
      <c r="L61" s="56"/>
      <c r="M61" s="82"/>
      <c r="N61" s="59"/>
      <c r="O61" s="59"/>
      <c r="P61" s="59"/>
      <c r="Q61" s="59"/>
      <c r="R61" s="59"/>
    </row>
    <row r="62" spans="1:21" x14ac:dyDescent="0.25">
      <c r="A62" s="84"/>
      <c r="B62" s="141" t="s">
        <v>145</v>
      </c>
      <c r="C62" s="142"/>
      <c r="D62" s="143"/>
      <c r="E62" s="100" t="str">
        <f t="shared" ref="E62:E63" si="37">IF(F62="Fail","*", " ")</f>
        <v xml:space="preserve"> </v>
      </c>
      <c r="F62" s="101"/>
      <c r="G62" s="102" t="s">
        <v>91</v>
      </c>
      <c r="H62" s="130" t="s">
        <v>87</v>
      </c>
      <c r="I62" s="131"/>
      <c r="J62" s="130" t="s">
        <v>88</v>
      </c>
      <c r="K62" s="131"/>
      <c r="L62" s="103"/>
      <c r="M62" s="104" t="str">
        <f t="shared" ref="M62:M63" si="38">IF(G62="Fail","*", " ")</f>
        <v xml:space="preserve"> </v>
      </c>
      <c r="P62" s="126"/>
    </row>
    <row r="63" spans="1:21" x14ac:dyDescent="0.25">
      <c r="A63" s="84"/>
      <c r="B63" s="141" t="s">
        <v>144</v>
      </c>
      <c r="C63" s="142"/>
      <c r="D63" s="143"/>
      <c r="E63" s="100" t="str">
        <f t="shared" si="37"/>
        <v xml:space="preserve"> </v>
      </c>
      <c r="F63" s="101"/>
      <c r="G63" s="102" t="s">
        <v>91</v>
      </c>
      <c r="H63" s="130" t="s">
        <v>87</v>
      </c>
      <c r="I63" s="131"/>
      <c r="J63" s="130" t="s">
        <v>88</v>
      </c>
      <c r="K63" s="131"/>
      <c r="L63" s="103"/>
      <c r="M63" s="104" t="str">
        <f t="shared" si="38"/>
        <v xml:space="preserve"> </v>
      </c>
    </row>
    <row r="64" spans="1:21" customFormat="1" x14ac:dyDescent="0.25">
      <c r="A64" s="59"/>
      <c r="B64" s="26"/>
      <c r="C64" s="69"/>
      <c r="D64" s="57"/>
      <c r="E64" s="89"/>
      <c r="F64" s="89" t="s">
        <v>117</v>
      </c>
      <c r="G64" s="89" t="s">
        <v>117</v>
      </c>
      <c r="H64" s="66"/>
      <c r="I64" s="67"/>
      <c r="J64" s="66"/>
      <c r="K64" s="67"/>
      <c r="L64" s="56"/>
      <c r="M64" s="82"/>
      <c r="N64" s="59"/>
      <c r="O64" s="59"/>
      <c r="P64" s="59"/>
      <c r="Q64" s="59"/>
      <c r="R64" s="59"/>
    </row>
    <row r="65" spans="1:18" customFormat="1" x14ac:dyDescent="0.25">
      <c r="A65" s="59"/>
      <c r="B65" s="135" t="s">
        <v>146</v>
      </c>
      <c r="C65" s="136"/>
      <c r="D65" s="137"/>
      <c r="E65" s="89"/>
      <c r="F65" s="89" t="s">
        <v>117</v>
      </c>
      <c r="G65" s="89" t="s">
        <v>117</v>
      </c>
      <c r="H65" s="135" t="s">
        <v>147</v>
      </c>
      <c r="I65" s="136"/>
      <c r="J65" s="136"/>
      <c r="K65" s="137"/>
      <c r="L65" s="56"/>
      <c r="M65" s="59"/>
      <c r="N65" s="59"/>
      <c r="O65" s="59"/>
      <c r="P65" s="59"/>
      <c r="Q65" s="59"/>
      <c r="R65" s="59"/>
    </row>
    <row r="66" spans="1:18" ht="15" customHeight="1" x14ac:dyDescent="0.25">
      <c r="B66" s="88"/>
      <c r="C66" s="69">
        <v>2</v>
      </c>
      <c r="D66" s="57" t="s">
        <v>84</v>
      </c>
      <c r="E66" s="89" t="str">
        <f t="shared" ref="E66" si="39">IF(AND(F66&gt;=H66,F66&lt;=J66),"",IF(OR(F66="",F66="N/A"),"","*"))</f>
        <v/>
      </c>
      <c r="F66" s="71"/>
      <c r="G66" s="71" t="s">
        <v>91</v>
      </c>
      <c r="H66" s="92">
        <f>(C66-L66)</f>
        <v>1.9590000000000001</v>
      </c>
      <c r="I66" s="97" t="str">
        <f t="shared" ref="I66" si="40">(D66)</f>
        <v>V</v>
      </c>
      <c r="J66" s="92">
        <f>(L66+C66)</f>
        <v>2.0409999999999999</v>
      </c>
      <c r="K66" s="97" t="str">
        <f t="shared" ref="K66" si="41">(D66)</f>
        <v>V</v>
      </c>
      <c r="L66" s="56">
        <f>ROUND(2%*C66+0.001,3)</f>
        <v>4.1000000000000002E-2</v>
      </c>
      <c r="M66" s="91" t="str">
        <f t="shared" ref="M66" si="42">IF(AND(G66&gt;=H66,G66&lt;=J66),"",IF(OR(G66="",G66="N/A"),"","*"))</f>
        <v/>
      </c>
    </row>
    <row r="67" spans="1:18" ht="15" customHeight="1" x14ac:dyDescent="0.25">
      <c r="B67" s="88"/>
      <c r="C67" s="105" t="s">
        <v>148</v>
      </c>
      <c r="D67" s="57" t="s">
        <v>32</v>
      </c>
      <c r="E67" s="100" t="str">
        <f t="shared" ref="E67" si="43">IF(F67="Fail","*", " ")</f>
        <v xml:space="preserve"> </v>
      </c>
      <c r="F67" s="101"/>
      <c r="G67" s="102" t="s">
        <v>91</v>
      </c>
      <c r="H67" s="130" t="s">
        <v>87</v>
      </c>
      <c r="I67" s="131"/>
      <c r="J67" s="130" t="s">
        <v>88</v>
      </c>
      <c r="K67" s="131"/>
      <c r="L67" s="103"/>
      <c r="M67" s="104" t="str">
        <f t="shared" ref="M67" si="44">IF(G67="Fail","*", " ")</f>
        <v xml:space="preserve"> </v>
      </c>
      <c r="P67" s="59" t="s">
        <v>149</v>
      </c>
    </row>
    <row r="68" spans="1:18" customFormat="1" x14ac:dyDescent="0.25">
      <c r="A68" s="59"/>
      <c r="B68" s="26"/>
      <c r="C68" s="69"/>
      <c r="D68" s="57"/>
      <c r="E68" s="89"/>
      <c r="F68" s="89" t="s">
        <v>117</v>
      </c>
      <c r="G68" s="89" t="s">
        <v>117</v>
      </c>
      <c r="H68" s="66"/>
      <c r="I68" s="67"/>
      <c r="J68" s="66"/>
      <c r="K68" s="67"/>
      <c r="L68" s="56"/>
      <c r="M68" s="82"/>
      <c r="N68" s="59"/>
      <c r="O68" s="59"/>
      <c r="P68" s="59"/>
      <c r="Q68" s="59"/>
      <c r="R68" s="59"/>
    </row>
    <row r="69" spans="1:18" customFormat="1" x14ac:dyDescent="0.25">
      <c r="A69" s="59"/>
      <c r="B69" s="135" t="s">
        <v>150</v>
      </c>
      <c r="C69" s="136"/>
      <c r="D69" s="137"/>
      <c r="E69" s="89"/>
      <c r="F69" s="89" t="s">
        <v>117</v>
      </c>
      <c r="G69" s="89" t="s">
        <v>117</v>
      </c>
      <c r="H69" s="135" t="s">
        <v>151</v>
      </c>
      <c r="I69" s="136"/>
      <c r="J69" s="136"/>
      <c r="K69" s="137"/>
      <c r="L69" s="56"/>
      <c r="M69" s="59"/>
      <c r="N69" s="59"/>
      <c r="O69" s="59"/>
      <c r="P69" s="59"/>
      <c r="Q69" s="59"/>
      <c r="R69" s="59"/>
    </row>
    <row r="70" spans="1:18" ht="15" customHeight="1" x14ac:dyDescent="0.25">
      <c r="B70" s="88" t="s">
        <v>152</v>
      </c>
      <c r="C70" s="69">
        <v>4</v>
      </c>
      <c r="D70" s="57" t="s">
        <v>32</v>
      </c>
      <c r="E70" s="89" t="str">
        <f t="shared" ref="E70:E72" si="45">IF(AND(F70&gt;=H70,F70&lt;=J70),"",IF(OR(F70="",F70="N/A"),"","*"))</f>
        <v/>
      </c>
      <c r="F70" s="71"/>
      <c r="G70" s="71" t="s">
        <v>91</v>
      </c>
      <c r="H70" s="92">
        <f>(C70-L70)</f>
        <v>3.996</v>
      </c>
      <c r="I70" s="97" t="str">
        <f t="shared" ref="I70:I72" si="46">(D70)</f>
        <v>mA</v>
      </c>
      <c r="J70" s="92">
        <f>(L70+C70)</f>
        <v>4.0039999999999996</v>
      </c>
      <c r="K70" s="97" t="str">
        <f t="shared" ref="K70:K72" si="47">(D70)</f>
        <v>mA</v>
      </c>
      <c r="L70" s="56">
        <f>ROUND(0.05%*C70+0.002,3)</f>
        <v>4.0000000000000001E-3</v>
      </c>
      <c r="M70" s="91" t="str">
        <f t="shared" ref="M70:M72" si="48">IF(AND(G70&gt;=H70,G70&lt;=J70),"",IF(OR(G70="",G70="N/A"),"","*"))</f>
        <v/>
      </c>
    </row>
    <row r="71" spans="1:18" ht="15" customHeight="1" x14ac:dyDescent="0.25">
      <c r="B71" s="88"/>
      <c r="C71" s="69">
        <v>12</v>
      </c>
      <c r="D71" s="57" t="s">
        <v>32</v>
      </c>
      <c r="E71" s="89" t="str">
        <f t="shared" si="45"/>
        <v/>
      </c>
      <c r="F71" s="71"/>
      <c r="G71" s="71" t="s">
        <v>91</v>
      </c>
      <c r="H71" s="92">
        <f t="shared" ref="H71:H72" si="49">(C71-L71)</f>
        <v>11.992000000000001</v>
      </c>
      <c r="I71" s="97" t="str">
        <f t="shared" si="46"/>
        <v>mA</v>
      </c>
      <c r="J71" s="92">
        <f t="shared" ref="J71:J72" si="50">(L71+C71)</f>
        <v>12.007999999999999</v>
      </c>
      <c r="K71" s="97" t="str">
        <f t="shared" si="47"/>
        <v>mA</v>
      </c>
      <c r="L71" s="56">
        <f t="shared" ref="L71:L72" si="51">ROUND(0.05%*C71+0.002,3)</f>
        <v>8.0000000000000002E-3</v>
      </c>
      <c r="M71" s="91" t="str">
        <f t="shared" si="48"/>
        <v/>
      </c>
    </row>
    <row r="72" spans="1:18" ht="15" customHeight="1" x14ac:dyDescent="0.25">
      <c r="B72" s="88"/>
      <c r="C72" s="69">
        <v>20</v>
      </c>
      <c r="D72" s="57" t="s">
        <v>32</v>
      </c>
      <c r="E72" s="89" t="str">
        <f t="shared" si="45"/>
        <v/>
      </c>
      <c r="F72" s="71"/>
      <c r="G72" s="71" t="s">
        <v>91</v>
      </c>
      <c r="H72" s="92">
        <f t="shared" si="49"/>
        <v>19.988</v>
      </c>
      <c r="I72" s="97" t="str">
        <f t="shared" si="46"/>
        <v>mA</v>
      </c>
      <c r="J72" s="92">
        <f t="shared" si="50"/>
        <v>20.012</v>
      </c>
      <c r="K72" s="97" t="str">
        <f t="shared" si="47"/>
        <v>mA</v>
      </c>
      <c r="L72" s="56">
        <f t="shared" si="51"/>
        <v>1.2E-2</v>
      </c>
      <c r="M72" s="91" t="str">
        <f t="shared" si="48"/>
        <v/>
      </c>
    </row>
    <row r="73" spans="1:18" ht="15" customHeight="1" x14ac:dyDescent="0.25">
      <c r="B73" s="88"/>
      <c r="C73" s="69"/>
      <c r="D73" s="57"/>
      <c r="E73" s="89"/>
      <c r="F73" s="89" t="s">
        <v>117</v>
      </c>
      <c r="G73" s="89" t="s">
        <v>117</v>
      </c>
      <c r="H73" s="66"/>
      <c r="I73" s="67"/>
      <c r="J73" s="66"/>
      <c r="K73" s="67"/>
      <c r="L73" s="56"/>
      <c r="M73" s="82"/>
    </row>
    <row r="74" spans="1:18" customFormat="1" x14ac:dyDescent="0.25">
      <c r="A74" s="59"/>
      <c r="B74" s="135" t="s">
        <v>153</v>
      </c>
      <c r="C74" s="136"/>
      <c r="D74" s="137"/>
      <c r="E74" s="89"/>
      <c r="F74" s="89" t="s">
        <v>117</v>
      </c>
      <c r="G74" s="89" t="s">
        <v>117</v>
      </c>
      <c r="H74" s="135" t="s">
        <v>132</v>
      </c>
      <c r="I74" s="136"/>
      <c r="J74" s="136"/>
      <c r="K74" s="137"/>
      <c r="L74" s="56"/>
      <c r="M74" s="59"/>
      <c r="N74" s="59"/>
      <c r="O74" s="59"/>
      <c r="P74" s="59"/>
      <c r="Q74" s="59"/>
      <c r="R74" s="59"/>
    </row>
    <row r="75" spans="1:18" ht="15" customHeight="1" x14ac:dyDescent="0.25">
      <c r="B75" s="106" t="s">
        <v>154</v>
      </c>
      <c r="C75" s="69">
        <v>0.1</v>
      </c>
      <c r="D75" s="57" t="s">
        <v>155</v>
      </c>
      <c r="E75" s="89" t="str">
        <f t="shared" ref="E75:E76" si="52">IF(AND(F75&gt;=H75,F75&lt;=J75),"",IF(OR(F75="",F75="N/A"),"","*"))</f>
        <v/>
      </c>
      <c r="F75" s="71"/>
      <c r="G75" s="71" t="s">
        <v>91</v>
      </c>
      <c r="H75" s="92">
        <f>(C75-L75)</f>
        <v>9.8000000000000004E-2</v>
      </c>
      <c r="I75" s="97" t="str">
        <f t="shared" ref="I75:I76" si="53">(D75)</f>
        <v>A</v>
      </c>
      <c r="J75" s="92">
        <f>(L75+C75)</f>
        <v>0.10200000000000001</v>
      </c>
      <c r="K75" s="97" t="str">
        <f t="shared" ref="K75:K76" si="54">(D75)</f>
        <v>A</v>
      </c>
      <c r="L75" s="56">
        <f>ROUND(0.2%*C75+0.002,3)</f>
        <v>2E-3</v>
      </c>
      <c r="M75" s="91" t="str">
        <f t="shared" ref="M75:M76" si="55">IF(AND(G75&gt;=H75,G75&lt;=J75),"",IF(OR(G75="",G75="N/A"),"","*"))</f>
        <v/>
      </c>
    </row>
    <row r="76" spans="1:18" ht="15" customHeight="1" x14ac:dyDescent="0.25">
      <c r="B76" s="88"/>
      <c r="C76" s="69">
        <v>0.4</v>
      </c>
      <c r="D76" s="57" t="s">
        <v>155</v>
      </c>
      <c r="E76" s="89" t="str">
        <f t="shared" si="52"/>
        <v/>
      </c>
      <c r="F76" s="71"/>
      <c r="G76" s="71" t="s">
        <v>91</v>
      </c>
      <c r="H76" s="92">
        <f t="shared" ref="H76" si="56">(C76-L76)</f>
        <v>0.39700000000000002</v>
      </c>
      <c r="I76" s="97" t="str">
        <f t="shared" si="53"/>
        <v>A</v>
      </c>
      <c r="J76" s="92">
        <f t="shared" ref="J76" si="57">(L76+C76)</f>
        <v>0.40300000000000002</v>
      </c>
      <c r="K76" s="97" t="str">
        <f t="shared" si="54"/>
        <v>A</v>
      </c>
      <c r="L76" s="56">
        <f>ROUND(0.2%*C76+0.002,3)</f>
        <v>3.0000000000000001E-3</v>
      </c>
      <c r="M76" s="91" t="str">
        <f t="shared" si="55"/>
        <v/>
      </c>
    </row>
    <row r="77" spans="1:18" ht="15" customHeight="1" x14ac:dyDescent="0.25">
      <c r="B77" s="88"/>
      <c r="C77" s="69"/>
      <c r="D77" s="57"/>
      <c r="E77" s="89"/>
      <c r="F77" s="89" t="s">
        <v>117</v>
      </c>
      <c r="G77" s="89" t="s">
        <v>117</v>
      </c>
      <c r="H77" s="92"/>
      <c r="I77" s="97"/>
      <c r="J77" s="92"/>
      <c r="K77" s="97"/>
      <c r="L77" s="56"/>
      <c r="M77" s="82"/>
    </row>
    <row r="78" spans="1:18" customFormat="1" x14ac:dyDescent="0.25">
      <c r="A78" s="59"/>
      <c r="B78" s="135" t="s">
        <v>156</v>
      </c>
      <c r="C78" s="136"/>
      <c r="D78" s="137"/>
      <c r="E78" s="89"/>
      <c r="F78" s="89" t="s">
        <v>117</v>
      </c>
      <c r="G78" s="89" t="s">
        <v>117</v>
      </c>
      <c r="H78" s="135" t="s">
        <v>157</v>
      </c>
      <c r="I78" s="136"/>
      <c r="J78" s="136"/>
      <c r="K78" s="137"/>
      <c r="L78" s="56"/>
      <c r="M78" s="59"/>
      <c r="N78" s="59"/>
      <c r="O78" s="59"/>
      <c r="P78" s="59"/>
      <c r="Q78" s="59"/>
      <c r="R78" s="59"/>
    </row>
    <row r="79" spans="1:18" ht="15" customHeight="1" x14ac:dyDescent="0.25">
      <c r="B79" s="106" t="s">
        <v>154</v>
      </c>
      <c r="C79" s="69">
        <v>0.1</v>
      </c>
      <c r="D79" s="57" t="s">
        <v>155</v>
      </c>
      <c r="E79" s="89" t="str">
        <f t="shared" ref="E79:E80" si="58">IF(AND(F79&gt;=H79,F79&lt;=J79),"",IF(OR(F79="",F79="N/A"),"","*"))</f>
        <v/>
      </c>
      <c r="F79" s="71"/>
      <c r="G79" s="71" t="s">
        <v>91</v>
      </c>
      <c r="H79" s="92">
        <f>(C79-L79)</f>
        <v>9.7000000000000003E-2</v>
      </c>
      <c r="I79" s="97" t="str">
        <f t="shared" ref="I79:I80" si="59">(D79)</f>
        <v>A</v>
      </c>
      <c r="J79" s="92">
        <f>(L79+C79)</f>
        <v>0.10300000000000001</v>
      </c>
      <c r="K79" s="97" t="str">
        <f t="shared" ref="K79:K80" si="60">(D79)</f>
        <v>A</v>
      </c>
      <c r="L79" s="56">
        <f>ROUND(1%*C79+0.002,3)</f>
        <v>3.0000000000000001E-3</v>
      </c>
      <c r="M79" s="91" t="str">
        <f t="shared" ref="M79:M80" si="61">IF(AND(G79&gt;=H79,G79&lt;=J79),"",IF(OR(G79="",G79="N/A"),"","*"))</f>
        <v/>
      </c>
    </row>
    <row r="80" spans="1:18" ht="15" customHeight="1" x14ac:dyDescent="0.25">
      <c r="B80" s="88"/>
      <c r="C80" s="69">
        <v>0.4</v>
      </c>
      <c r="D80" s="57" t="s">
        <v>155</v>
      </c>
      <c r="E80" s="89" t="str">
        <f t="shared" si="58"/>
        <v/>
      </c>
      <c r="F80" s="71"/>
      <c r="G80" s="71" t="s">
        <v>91</v>
      </c>
      <c r="H80" s="92">
        <f t="shared" ref="H80" si="62">(C80-L80)</f>
        <v>0.39400000000000002</v>
      </c>
      <c r="I80" s="97" t="str">
        <f t="shared" si="59"/>
        <v>A</v>
      </c>
      <c r="J80" s="92">
        <f t="shared" ref="J80" si="63">(L80+C80)</f>
        <v>0.40600000000000003</v>
      </c>
      <c r="K80" s="97" t="str">
        <f t="shared" si="60"/>
        <v>A</v>
      </c>
      <c r="L80" s="56">
        <f>ROUND(1%*C80+0.002,3)</f>
        <v>6.0000000000000001E-3</v>
      </c>
      <c r="M80" s="91" t="str">
        <f t="shared" si="61"/>
        <v/>
      </c>
    </row>
    <row r="81" spans="1:18" ht="15" customHeight="1" x14ac:dyDescent="0.25">
      <c r="B81" s="88"/>
      <c r="C81" s="69"/>
      <c r="D81" s="57"/>
      <c r="E81" s="89"/>
      <c r="F81" s="89" t="s">
        <v>117</v>
      </c>
      <c r="G81" s="89" t="s">
        <v>117</v>
      </c>
      <c r="H81" s="92"/>
      <c r="I81" s="97"/>
      <c r="J81" s="92"/>
      <c r="K81" s="97"/>
      <c r="L81" s="56"/>
      <c r="M81" s="82"/>
    </row>
    <row r="82" spans="1:18" customFormat="1" x14ac:dyDescent="0.25">
      <c r="A82" s="59"/>
      <c r="B82" s="135" t="s">
        <v>158</v>
      </c>
      <c r="C82" s="136"/>
      <c r="D82" s="137"/>
      <c r="E82" s="89"/>
      <c r="F82" s="89" t="s">
        <v>117</v>
      </c>
      <c r="G82" s="89" t="s">
        <v>117</v>
      </c>
      <c r="H82" s="135" t="s">
        <v>159</v>
      </c>
      <c r="I82" s="136"/>
      <c r="J82" s="136"/>
      <c r="K82" s="137"/>
      <c r="L82" s="56"/>
      <c r="M82" s="56"/>
      <c r="N82" s="59"/>
      <c r="O82" s="59"/>
      <c r="P82" s="59"/>
      <c r="Q82" s="59"/>
      <c r="R82" s="59"/>
    </row>
    <row r="83" spans="1:18" ht="15" customHeight="1" x14ac:dyDescent="0.25">
      <c r="B83" s="88"/>
      <c r="C83" s="69">
        <v>4</v>
      </c>
      <c r="D83" s="57" t="s">
        <v>32</v>
      </c>
      <c r="E83" s="89" t="str">
        <f t="shared" ref="E83:E85" si="64">IF(AND(F83&gt;=H83,F83&lt;=J83),"",IF(OR(F83="",F83="N/A"),"","*"))</f>
        <v/>
      </c>
      <c r="F83" s="107"/>
      <c r="G83" s="107" t="s">
        <v>91</v>
      </c>
      <c r="H83" s="108">
        <f>(C83-L83)</f>
        <v>3.99</v>
      </c>
      <c r="I83" s="109" t="str">
        <f t="shared" ref="I83:I85" si="65">(D83)</f>
        <v>mA</v>
      </c>
      <c r="J83" s="108">
        <f>(L83+C83)</f>
        <v>4.01</v>
      </c>
      <c r="K83" s="109" t="str">
        <f t="shared" ref="K83:K85" si="66">(D83)</f>
        <v>mA</v>
      </c>
      <c r="L83" s="56">
        <f>ROUND(0.05%*20,4)</f>
        <v>0.01</v>
      </c>
      <c r="M83" s="91" t="str">
        <f t="shared" ref="M83:M85" si="67">IF(AND(G83&gt;=H83,G83&lt;=J83),"",IF(OR(G83="",G83="N/A"),"","*"))</f>
        <v/>
      </c>
      <c r="N83" s="59" t="s">
        <v>186</v>
      </c>
    </row>
    <row r="84" spans="1:18" ht="15" customHeight="1" x14ac:dyDescent="0.25">
      <c r="B84" s="88"/>
      <c r="C84" s="69">
        <v>12</v>
      </c>
      <c r="D84" s="57" t="s">
        <v>32</v>
      </c>
      <c r="E84" s="89" t="str">
        <f t="shared" si="64"/>
        <v/>
      </c>
      <c r="F84" s="107"/>
      <c r="G84" s="107" t="s">
        <v>91</v>
      </c>
      <c r="H84" s="108">
        <f t="shared" ref="H84:H85" si="68">(C84-L84)</f>
        <v>11.99</v>
      </c>
      <c r="I84" s="109" t="str">
        <f t="shared" si="65"/>
        <v>mA</v>
      </c>
      <c r="J84" s="108">
        <f t="shared" ref="J84:J85" si="69">(L84+C84)</f>
        <v>12.01</v>
      </c>
      <c r="K84" s="109" t="str">
        <f t="shared" si="66"/>
        <v>mA</v>
      </c>
      <c r="L84" s="56">
        <f t="shared" ref="L84:L85" si="70">ROUND(0.05%*20,4)</f>
        <v>0.01</v>
      </c>
      <c r="M84" s="91" t="str">
        <f t="shared" si="67"/>
        <v/>
      </c>
    </row>
    <row r="85" spans="1:18" ht="15" customHeight="1" x14ac:dyDescent="0.25">
      <c r="B85" s="88"/>
      <c r="C85" s="69">
        <v>20</v>
      </c>
      <c r="D85" s="57" t="s">
        <v>32</v>
      </c>
      <c r="E85" s="89" t="str">
        <f t="shared" si="64"/>
        <v/>
      </c>
      <c r="F85" s="107"/>
      <c r="G85" s="107" t="s">
        <v>91</v>
      </c>
      <c r="H85" s="108">
        <f t="shared" si="68"/>
        <v>19.989999999999998</v>
      </c>
      <c r="I85" s="109" t="str">
        <f t="shared" si="65"/>
        <v>mA</v>
      </c>
      <c r="J85" s="108">
        <f t="shared" si="69"/>
        <v>20.010000000000002</v>
      </c>
      <c r="K85" s="109" t="str">
        <f t="shared" si="66"/>
        <v>mA</v>
      </c>
      <c r="L85" s="56">
        <f t="shared" si="70"/>
        <v>0.01</v>
      </c>
      <c r="M85" s="91" t="str">
        <f t="shared" si="67"/>
        <v/>
      </c>
    </row>
    <row r="86" spans="1:18" ht="15" customHeight="1" x14ac:dyDescent="0.25">
      <c r="B86" s="88"/>
      <c r="C86" s="69"/>
      <c r="D86" s="57"/>
      <c r="E86" s="89"/>
      <c r="F86" s="89" t="s">
        <v>117</v>
      </c>
      <c r="G86" s="89" t="s">
        <v>117</v>
      </c>
      <c r="H86" s="92"/>
      <c r="I86" s="97"/>
      <c r="J86" s="92"/>
      <c r="K86" s="97"/>
      <c r="L86" s="56"/>
      <c r="M86" s="82"/>
    </row>
    <row r="87" spans="1:18" ht="15" customHeight="1" x14ac:dyDescent="0.25">
      <c r="B87" s="138" t="s">
        <v>160</v>
      </c>
      <c r="C87" s="139"/>
      <c r="D87" s="140"/>
      <c r="E87" s="89"/>
      <c r="F87" s="89" t="s">
        <v>117</v>
      </c>
      <c r="G87" s="89" t="s">
        <v>117</v>
      </c>
      <c r="H87" s="92"/>
      <c r="I87" s="97"/>
      <c r="J87" s="92"/>
      <c r="K87" s="97"/>
      <c r="L87" s="56"/>
      <c r="M87" s="82"/>
    </row>
    <row r="88" spans="1:18" x14ac:dyDescent="0.25">
      <c r="A88" s="84"/>
      <c r="B88" s="127" t="s">
        <v>161</v>
      </c>
      <c r="C88" s="128"/>
      <c r="D88" s="129"/>
      <c r="E88" s="100" t="str">
        <f t="shared" ref="E88:E91" si="71">IF(F88="Fail","*", " ")</f>
        <v xml:space="preserve"> </v>
      </c>
      <c r="F88" s="101"/>
      <c r="G88" s="102" t="s">
        <v>91</v>
      </c>
      <c r="H88" s="130" t="s">
        <v>87</v>
      </c>
      <c r="I88" s="131"/>
      <c r="J88" s="130" t="s">
        <v>88</v>
      </c>
      <c r="K88" s="131"/>
      <c r="L88" s="103"/>
      <c r="M88" s="104" t="str">
        <f t="shared" ref="M88:M91" si="72">IF(G88="Fail","*", " ")</f>
        <v xml:space="preserve"> </v>
      </c>
      <c r="P88" s="59" t="s">
        <v>162</v>
      </c>
    </row>
    <row r="89" spans="1:18" x14ac:dyDescent="0.25">
      <c r="A89" s="84"/>
      <c r="B89" s="127" t="s">
        <v>184</v>
      </c>
      <c r="C89" s="128"/>
      <c r="D89" s="129"/>
      <c r="E89" s="100" t="str">
        <f t="shared" si="71"/>
        <v xml:space="preserve"> </v>
      </c>
      <c r="F89" s="101"/>
      <c r="G89" s="102" t="s">
        <v>91</v>
      </c>
      <c r="H89" s="130" t="s">
        <v>87</v>
      </c>
      <c r="I89" s="131"/>
      <c r="J89" s="130" t="s">
        <v>88</v>
      </c>
      <c r="K89" s="131"/>
      <c r="L89" s="103"/>
      <c r="M89" s="104" t="str">
        <f t="shared" si="72"/>
        <v xml:space="preserve"> </v>
      </c>
      <c r="P89" s="59" t="s">
        <v>163</v>
      </c>
    </row>
    <row r="90" spans="1:18" x14ac:dyDescent="0.25">
      <c r="A90" s="84"/>
      <c r="B90" s="127" t="s">
        <v>185</v>
      </c>
      <c r="C90" s="128"/>
      <c r="D90" s="129"/>
      <c r="E90" s="100" t="str">
        <f t="shared" si="71"/>
        <v xml:space="preserve"> </v>
      </c>
      <c r="F90" s="101"/>
      <c r="G90" s="102" t="s">
        <v>91</v>
      </c>
      <c r="H90" s="130" t="s">
        <v>87</v>
      </c>
      <c r="I90" s="131"/>
      <c r="J90" s="130" t="s">
        <v>88</v>
      </c>
      <c r="K90" s="131"/>
      <c r="L90" s="103"/>
      <c r="M90" s="104" t="str">
        <f t="shared" si="72"/>
        <v xml:space="preserve"> </v>
      </c>
      <c r="P90" s="59" t="s">
        <v>164</v>
      </c>
    </row>
    <row r="91" spans="1:18" x14ac:dyDescent="0.25">
      <c r="A91" s="84"/>
      <c r="B91" s="127" t="s">
        <v>165</v>
      </c>
      <c r="C91" s="128"/>
      <c r="D91" s="129"/>
      <c r="E91" s="100" t="str">
        <f t="shared" si="71"/>
        <v xml:space="preserve"> </v>
      </c>
      <c r="F91" s="101"/>
      <c r="G91" s="102" t="s">
        <v>91</v>
      </c>
      <c r="H91" s="130" t="s">
        <v>87</v>
      </c>
      <c r="I91" s="131"/>
      <c r="J91" s="130" t="s">
        <v>88</v>
      </c>
      <c r="K91" s="131"/>
      <c r="L91" s="103"/>
      <c r="M91" s="104" t="str">
        <f t="shared" si="72"/>
        <v xml:space="preserve"> </v>
      </c>
      <c r="P91" s="59" t="s">
        <v>166</v>
      </c>
    </row>
    <row r="92" spans="1:18" x14ac:dyDescent="0.25">
      <c r="A92" s="55"/>
      <c r="B92" s="88"/>
      <c r="C92" s="69"/>
      <c r="D92" s="57"/>
      <c r="E92" s="100"/>
      <c r="F92" s="100"/>
      <c r="G92" s="100"/>
      <c r="H92" s="66"/>
      <c r="I92" s="67"/>
      <c r="J92" s="66"/>
      <c r="K92" s="67"/>
      <c r="L92" s="110"/>
      <c r="M92" s="111"/>
    </row>
    <row r="93" spans="1:18" x14ac:dyDescent="0.25">
      <c r="A93" s="55"/>
      <c r="B93" s="132"/>
      <c r="C93" s="133"/>
      <c r="D93" s="133"/>
      <c r="E93" s="133"/>
      <c r="F93" s="133"/>
      <c r="G93" s="133"/>
      <c r="H93" s="133"/>
      <c r="I93" s="133"/>
      <c r="J93" s="133"/>
      <c r="K93" s="134"/>
      <c r="L93" s="74" t="s">
        <v>100</v>
      </c>
      <c r="M93" s="75">
        <f>COUNTBLANK(F13:G91)</f>
        <v>55</v>
      </c>
      <c r="N93" s="58" t="str">
        <f>IF(M93&gt;0,"Fail","Pass")</f>
        <v>Fail</v>
      </c>
    </row>
    <row r="94" spans="1:18" x14ac:dyDescent="0.25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6"/>
    </row>
    <row r="95" spans="1:18" x14ac:dyDescent="0.25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6"/>
    </row>
    <row r="96" spans="1:18" x14ac:dyDescent="0.25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6"/>
    </row>
    <row r="97" spans="1:13" x14ac:dyDescent="0.25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6"/>
    </row>
    <row r="98" spans="1:13" x14ac:dyDescent="0.25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6"/>
    </row>
    <row r="99" spans="1:13" x14ac:dyDescent="0.25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6"/>
    </row>
    <row r="100" spans="1:13" x14ac:dyDescent="0.25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6"/>
    </row>
    <row r="101" spans="1:13" x14ac:dyDescent="0.25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6"/>
    </row>
    <row r="102" spans="1:13" x14ac:dyDescent="0.25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6"/>
    </row>
    <row r="103" spans="1:13" x14ac:dyDescent="0.25"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6"/>
    </row>
    <row r="104" spans="1:13" x14ac:dyDescent="0.25"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6"/>
    </row>
    <row r="105" spans="1:13" x14ac:dyDescent="0.25"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6"/>
    </row>
    <row r="106" spans="1:13" x14ac:dyDescent="0.25"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6"/>
    </row>
    <row r="107" spans="1:13" x14ac:dyDescent="0.25"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6"/>
    </row>
  </sheetData>
  <mergeCells count="68">
    <mergeCell ref="B1:C1"/>
    <mergeCell ref="E1:G1"/>
    <mergeCell ref="H1:K1"/>
    <mergeCell ref="L1:N1"/>
    <mergeCell ref="B2:D2"/>
    <mergeCell ref="E2:H2"/>
    <mergeCell ref="I2:K2"/>
    <mergeCell ref="B3:K3"/>
    <mergeCell ref="B4:D4"/>
    <mergeCell ref="E4:G4"/>
    <mergeCell ref="H4:K4"/>
    <mergeCell ref="B5:D5"/>
    <mergeCell ref="F5:G5"/>
    <mergeCell ref="H5:K5"/>
    <mergeCell ref="B26:D26"/>
    <mergeCell ref="H26:K26"/>
    <mergeCell ref="C6:D6"/>
    <mergeCell ref="H6:I6"/>
    <mergeCell ref="J6:K6"/>
    <mergeCell ref="B7:D7"/>
    <mergeCell ref="B8:D8"/>
    <mergeCell ref="J8:K8"/>
    <mergeCell ref="B9:D9"/>
    <mergeCell ref="B10:D10"/>
    <mergeCell ref="B12:D12"/>
    <mergeCell ref="H12:K12"/>
    <mergeCell ref="H15:K15"/>
    <mergeCell ref="B62:D62"/>
    <mergeCell ref="H62:I62"/>
    <mergeCell ref="J62:K62"/>
    <mergeCell ref="B31:D31"/>
    <mergeCell ref="H31:K31"/>
    <mergeCell ref="B40:D40"/>
    <mergeCell ref="H40:K40"/>
    <mergeCell ref="B44:D44"/>
    <mergeCell ref="H44:K44"/>
    <mergeCell ref="H67:I67"/>
    <mergeCell ref="J67:K67"/>
    <mergeCell ref="H47:K47"/>
    <mergeCell ref="H55:K55"/>
    <mergeCell ref="H58:K58"/>
    <mergeCell ref="B63:D63"/>
    <mergeCell ref="H63:I63"/>
    <mergeCell ref="J63:K63"/>
    <mergeCell ref="B65:D65"/>
    <mergeCell ref="H65:K65"/>
    <mergeCell ref="B69:D69"/>
    <mergeCell ref="H69:K69"/>
    <mergeCell ref="B74:D74"/>
    <mergeCell ref="H74:K74"/>
    <mergeCell ref="B78:D78"/>
    <mergeCell ref="H78:K78"/>
    <mergeCell ref="B82:D82"/>
    <mergeCell ref="H82:K82"/>
    <mergeCell ref="B87:D87"/>
    <mergeCell ref="B88:D88"/>
    <mergeCell ref="H88:I88"/>
    <mergeCell ref="J88:K88"/>
    <mergeCell ref="B91:D91"/>
    <mergeCell ref="H91:I91"/>
    <mergeCell ref="J91:K91"/>
    <mergeCell ref="B93:K93"/>
    <mergeCell ref="B89:D89"/>
    <mergeCell ref="H89:I89"/>
    <mergeCell ref="J89:K89"/>
    <mergeCell ref="B90:D90"/>
    <mergeCell ref="H90:I90"/>
    <mergeCell ref="J90:K90"/>
  </mergeCells>
  <conditionalFormatting sqref="E62:H63 J62:J63">
    <cfRule type="expression" dxfId="44" priority="1">
      <formula>$N$6=2</formula>
    </cfRule>
    <cfRule type="expression" dxfId="43" priority="2">
      <formula>$N$6=1</formula>
    </cfRule>
  </conditionalFormatting>
  <conditionalFormatting sqref="E67:H67 J67">
    <cfRule type="expression" dxfId="42" priority="3">
      <formula>$N$6=2</formula>
    </cfRule>
    <cfRule type="expression" dxfId="41" priority="4">
      <formula>$N$6=1</formula>
    </cfRule>
  </conditionalFormatting>
  <conditionalFormatting sqref="E88:H91 J88:J91 E92:G92">
    <cfRule type="expression" dxfId="40" priority="5">
      <formula>$N$6=2</formula>
    </cfRule>
    <cfRule type="expression" dxfId="39" priority="6">
      <formula>$N$6=1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10250C&amp;R&amp;P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0014-DFF7-41B4-8876-0DE7519E123E}">
  <sheetPr codeName="Sheet2"/>
  <dimension ref="A1:AA92"/>
  <sheetViews>
    <sheetView zoomScaleNormal="100" workbookViewId="0">
      <selection activeCell="L6" sqref="L6"/>
    </sheetView>
  </sheetViews>
  <sheetFormatPr defaultRowHeight="15" customHeight="1" x14ac:dyDescent="0.25"/>
  <cols>
    <col min="1" max="1" width="9.140625" style="76" customWidth="1"/>
    <col min="2" max="2" width="17.85546875" style="76" customWidth="1"/>
    <col min="3" max="3" width="8.140625" style="76" customWidth="1"/>
    <col min="4" max="4" width="5" style="76" customWidth="1"/>
    <col min="5" max="5" width="4" style="76" customWidth="1"/>
    <col min="6" max="7" width="9.140625" style="76" customWidth="1"/>
    <col min="8" max="10" width="13.7109375" style="76" customWidth="1"/>
    <col min="11" max="12" width="10.28515625" style="115" customWidth="1"/>
    <col min="13" max="13" width="14" style="115" customWidth="1"/>
    <col min="14" max="14" width="10.28515625" style="115" customWidth="1"/>
    <col min="15" max="25" width="10.28515625" style="76" customWidth="1"/>
    <col min="26" max="16384" width="9.140625" style="76"/>
  </cols>
  <sheetData>
    <row r="1" spans="1:27" ht="15" customHeight="1" x14ac:dyDescent="0.25">
      <c r="A1" s="28"/>
      <c r="B1" s="224" t="s">
        <v>60</v>
      </c>
      <c r="C1" s="224"/>
      <c r="D1" s="224"/>
      <c r="E1" s="225" t="s">
        <v>33</v>
      </c>
      <c r="F1" s="225"/>
      <c r="G1" s="225"/>
      <c r="H1" s="226" t="str">
        <f>Datasheet!H1</f>
        <v xml:space="preserve">Work Order: </v>
      </c>
      <c r="I1" s="226"/>
      <c r="J1" s="226"/>
      <c r="K1" s="29"/>
      <c r="L1" s="29"/>
      <c r="M1"/>
      <c r="N1"/>
      <c r="O1"/>
      <c r="AA1" s="76" t="s">
        <v>176</v>
      </c>
    </row>
    <row r="2" spans="1:27" ht="15" customHeight="1" x14ac:dyDescent="0.25">
      <c r="A2" s="28"/>
      <c r="B2" s="223" t="str">
        <f>MANUFACTURER</f>
        <v>Manufacturer: Fluke</v>
      </c>
      <c r="C2" s="223"/>
      <c r="D2" s="223"/>
      <c r="E2" s="223" t="str">
        <f>Datasheet!E2</f>
        <v>Model: 789</v>
      </c>
      <c r="F2" s="223"/>
      <c r="G2" s="223"/>
      <c r="H2" s="223"/>
      <c r="I2" s="223"/>
      <c r="J2" s="223"/>
      <c r="K2" s="29"/>
      <c r="L2" s="29"/>
      <c r="M2" s="29"/>
      <c r="N2" s="29"/>
    </row>
    <row r="3" spans="1:27" ht="15" customHeight="1" x14ac:dyDescent="0.25">
      <c r="A3" s="28"/>
      <c r="B3" s="223" t="str">
        <f>Datasheet!B3</f>
        <v>Description: Processmeter</v>
      </c>
      <c r="C3" s="223"/>
      <c r="D3" s="223"/>
      <c r="E3" s="223"/>
      <c r="F3" s="223"/>
      <c r="G3" s="223"/>
      <c r="H3" s="223"/>
      <c r="I3" s="223"/>
      <c r="J3" s="223"/>
      <c r="K3" s="29"/>
      <c r="L3" s="29"/>
      <c r="M3" s="29"/>
      <c r="N3" s="29"/>
    </row>
    <row r="4" spans="1:27" ht="15" customHeight="1" thickBot="1" x14ac:dyDescent="0.3">
      <c r="A4" s="28"/>
      <c r="B4" s="220" t="str">
        <f>SN</f>
        <v xml:space="preserve">Mfr S/N: </v>
      </c>
      <c r="C4" s="220"/>
      <c r="D4" s="220"/>
      <c r="E4" s="220" t="str">
        <f>CUSTID</f>
        <v xml:space="preserve">Cust ID: </v>
      </c>
      <c r="F4" s="220"/>
      <c r="G4" s="220"/>
      <c r="H4" s="221" t="str">
        <f>Datasheet!H4</f>
        <v>Cust S/N: N/A</v>
      </c>
      <c r="I4" s="221"/>
      <c r="J4" s="221"/>
      <c r="K4" s="29"/>
      <c r="L4" s="29"/>
      <c r="M4" s="29"/>
      <c r="N4" s="29"/>
      <c r="O4" s="28"/>
    </row>
    <row r="5" spans="1:27" ht="15" customHeight="1" x14ac:dyDescent="0.25">
      <c r="A5" s="28"/>
      <c r="B5" s="222" t="s">
        <v>48</v>
      </c>
      <c r="C5" s="222"/>
      <c r="D5" s="222"/>
      <c r="E5" s="30" t="s">
        <v>35</v>
      </c>
      <c r="F5" s="222" t="s">
        <v>36</v>
      </c>
      <c r="G5" s="222"/>
      <c r="H5" s="30" t="s">
        <v>49</v>
      </c>
      <c r="I5" s="30" t="s">
        <v>50</v>
      </c>
      <c r="J5" s="30" t="s">
        <v>51</v>
      </c>
      <c r="K5" s="29"/>
      <c r="L5" s="29"/>
      <c r="M5" s="29"/>
      <c r="N5" s="29"/>
      <c r="O5" s="28"/>
    </row>
    <row r="6" spans="1:27" ht="15" customHeight="1" thickBot="1" x14ac:dyDescent="0.3">
      <c r="A6" s="28"/>
      <c r="B6" s="113" t="s">
        <v>38</v>
      </c>
      <c r="C6" s="113"/>
      <c r="D6" s="114" t="s">
        <v>39</v>
      </c>
      <c r="E6" s="31" t="s">
        <v>52</v>
      </c>
      <c r="F6" s="31" t="s">
        <v>53</v>
      </c>
      <c r="G6" s="31" t="s">
        <v>54</v>
      </c>
      <c r="H6" s="32" t="s">
        <v>55</v>
      </c>
      <c r="I6" s="32" t="s">
        <v>56</v>
      </c>
      <c r="J6" s="32" t="s">
        <v>167</v>
      </c>
    </row>
    <row r="7" spans="1:27" ht="15" customHeight="1" x14ac:dyDescent="0.25">
      <c r="A7" s="28"/>
      <c r="B7" s="116"/>
      <c r="C7" s="116"/>
      <c r="D7" s="117"/>
      <c r="E7" s="33"/>
      <c r="F7" s="33"/>
      <c r="G7" s="33"/>
      <c r="H7" s="118"/>
      <c r="I7" s="118"/>
      <c r="J7" s="118"/>
      <c r="K7" s="29"/>
      <c r="L7" s="29"/>
      <c r="N7" s="29"/>
      <c r="O7" s="28"/>
    </row>
    <row r="8" spans="1:27" ht="15" customHeight="1" x14ac:dyDescent="0.25">
      <c r="A8" s="28"/>
      <c r="B8" s="219" t="s">
        <v>57</v>
      </c>
      <c r="C8" s="219"/>
      <c r="D8" s="219"/>
      <c r="E8" s="119"/>
      <c r="F8" s="25" t="str">
        <f>(Datasheet!F8)</f>
        <v>Pass</v>
      </c>
      <c r="G8" s="25" t="str">
        <f>(Datasheet!G8)</f>
        <v>Pass</v>
      </c>
      <c r="H8" s="77" t="str">
        <f>Datasheet!J8</f>
        <v>Status: Incomplete</v>
      </c>
      <c r="I8" s="25"/>
      <c r="J8" s="25"/>
      <c r="K8" s="25"/>
      <c r="L8" s="25"/>
      <c r="N8" s="25"/>
      <c r="O8" s="23"/>
    </row>
    <row r="9" spans="1:27" ht="15" customHeight="1" x14ac:dyDescent="0.25">
      <c r="A9" s="28"/>
      <c r="B9" s="120" t="s">
        <v>58</v>
      </c>
      <c r="C9" s="121"/>
      <c r="D9" s="120"/>
      <c r="E9" s="119"/>
      <c r="F9" s="25"/>
      <c r="G9" s="25"/>
      <c r="H9" s="25"/>
      <c r="I9" s="25"/>
      <c r="J9" s="25"/>
      <c r="K9" s="25"/>
      <c r="L9" s="25"/>
      <c r="N9" s="29"/>
      <c r="O9" s="28"/>
    </row>
    <row r="10" spans="1:27" ht="15" customHeight="1" x14ac:dyDescent="0.25">
      <c r="A10" s="28"/>
      <c r="B10" s="120" t="str">
        <f>(PROCEDURE)</f>
        <v>I/A/W MFR Procedure:</v>
      </c>
      <c r="C10" s="121"/>
      <c r="D10" s="120"/>
      <c r="E10" s="119"/>
      <c r="F10" s="25"/>
      <c r="G10" s="25"/>
      <c r="H10" s="25"/>
      <c r="I10" s="25"/>
      <c r="J10" s="25"/>
      <c r="K10" s="25"/>
      <c r="L10" s="25"/>
      <c r="N10" s="29"/>
      <c r="O10" s="28"/>
    </row>
    <row r="11" spans="1:27" ht="15" customHeight="1" x14ac:dyDescent="0.25">
      <c r="A11" s="23"/>
      <c r="B11" s="120" t="str">
        <f>T(Datasheet!B11)</f>
        <v/>
      </c>
      <c r="C11" s="121"/>
      <c r="D11" s="120"/>
      <c r="E11" s="119"/>
      <c r="F11" s="25"/>
      <c r="G11" s="25"/>
      <c r="H11" s="25" t="str">
        <f>T(Datasheet!H11)</f>
        <v/>
      </c>
      <c r="I11" s="25"/>
      <c r="J11" s="25"/>
      <c r="K11" s="25"/>
      <c r="L11" s="25"/>
      <c r="M11" s="24" t="s">
        <v>168</v>
      </c>
      <c r="N11" s="25"/>
      <c r="O11" s="25"/>
    </row>
    <row r="12" spans="1:27" ht="15" customHeight="1" x14ac:dyDescent="0.25">
      <c r="A12" s="23"/>
      <c r="B12" s="219" t="str">
        <f>T(Datasheet!B12)</f>
        <v>AC Voltage Tests @ 60 Hz</v>
      </c>
      <c r="C12" s="219"/>
      <c r="D12" s="219"/>
      <c r="E12" s="119"/>
      <c r="F12" s="25"/>
      <c r="G12" s="25"/>
      <c r="H12" s="25" t="str">
        <f>T(Datasheet!H12)</f>
        <v>± 0.7% of RDG + 4D</v>
      </c>
      <c r="I12" s="25"/>
      <c r="J12" s="25"/>
      <c r="K12" s="34" t="s">
        <v>169</v>
      </c>
      <c r="L12" s="24" t="s">
        <v>170</v>
      </c>
      <c r="M12" s="24" t="s">
        <v>171</v>
      </c>
      <c r="N12" s="24" t="s">
        <v>172</v>
      </c>
      <c r="O12" s="24" t="s">
        <v>51</v>
      </c>
    </row>
    <row r="13" spans="1:27" ht="15" customHeight="1" x14ac:dyDescent="0.25">
      <c r="A13" s="29"/>
      <c r="B13" s="120" t="str">
        <f>T(Datasheet!B13)</f>
        <v>400 mV</v>
      </c>
      <c r="C13" s="121">
        <f>Datasheet!C13</f>
        <v>100</v>
      </c>
      <c r="D13" s="120" t="str">
        <f>(Datasheet!D13)</f>
        <v>mV</v>
      </c>
      <c r="E13" s="119" t="str">
        <f>IF(Datasheet!E13="*","!","")</f>
        <v/>
      </c>
      <c r="F13" s="25" t="str">
        <f ca="1">IF(CELL("type",Datasheet!F13)="v",FIXED(Datasheet!F13,K13,TRUE),T(Datasheet!F13))</f>
        <v/>
      </c>
      <c r="G13" s="25" t="str">
        <f ca="1">IF(CELL("type",Datasheet!G13)="v",FIXED(Datasheet!G13,K13,TRUE),T(Datasheet!G13))</f>
        <v>N/A</v>
      </c>
      <c r="H13" s="25" t="str">
        <f>"±"&amp;FIXED(Datasheet!L13,K13)&amp;" "&amp;D13</f>
        <v>±1.1 mV</v>
      </c>
      <c r="I13" s="25" t="str">
        <f>N13&amp;" "&amp;D13</f>
        <v>0.070 mV</v>
      </c>
      <c r="J13" s="122" t="str">
        <f>IF(O13&lt;4,O13,"")</f>
        <v/>
      </c>
      <c r="K13" s="25">
        <v>1</v>
      </c>
      <c r="L13" s="25">
        <f>Datasheet!L13</f>
        <v>1.1000000000000001</v>
      </c>
      <c r="M13" s="29">
        <v>6.9499999999999992E-2</v>
      </c>
      <c r="N13" s="25" t="str">
        <f>FIXED(M13,2-(1+INT(LOG10(ABS(M13)))),TRUE)</f>
        <v>0.070</v>
      </c>
      <c r="O13" s="122">
        <f>L13/N13</f>
        <v>15.714285714285714</v>
      </c>
    </row>
    <row r="14" spans="1:27" ht="15" customHeight="1" x14ac:dyDescent="0.25">
      <c r="A14" s="29"/>
      <c r="B14" s="120" t="str">
        <f>T(Datasheet!B14)</f>
        <v/>
      </c>
      <c r="C14" s="121">
        <f>Datasheet!C14</f>
        <v>300</v>
      </c>
      <c r="D14" s="120" t="str">
        <f>(Datasheet!D14)</f>
        <v>mV</v>
      </c>
      <c r="E14" s="119" t="str">
        <f>IF(Datasheet!E14="*","!","")</f>
        <v/>
      </c>
      <c r="F14" s="25" t="str">
        <f ca="1">IF(CELL("type",Datasheet!F14)="v",FIXED(Datasheet!F14,K14,TRUE),T(Datasheet!F14))</f>
        <v/>
      </c>
      <c r="G14" s="25" t="str">
        <f ca="1">IF(CELL("type",Datasheet!G14)="v",FIXED(Datasheet!G14,K14,TRUE),T(Datasheet!G14))</f>
        <v>N/A</v>
      </c>
      <c r="H14" s="25" t="str">
        <f>"±"&amp;FIXED(Datasheet!L14,K14)&amp;" "&amp;D14</f>
        <v>±2.5 mV</v>
      </c>
      <c r="I14" s="25" t="str">
        <f>N14&amp;" "&amp;D14</f>
        <v>0.10 mV</v>
      </c>
      <c r="J14" s="122" t="str">
        <f>IF(O14&lt;4,O14,"")</f>
        <v/>
      </c>
      <c r="K14" s="25">
        <v>1</v>
      </c>
      <c r="L14" s="25">
        <f>Datasheet!L14</f>
        <v>2.5</v>
      </c>
      <c r="M14" s="29">
        <v>0.10299999999999999</v>
      </c>
      <c r="N14" s="25" t="str">
        <f t="shared" ref="N14:N54" si="0">FIXED(M14,2-(1+INT(LOG10(ABS(M14)))),TRUE)</f>
        <v>0.10</v>
      </c>
      <c r="O14" s="122">
        <f t="shared" ref="O14:O60" si="1">L14/N14</f>
        <v>25</v>
      </c>
    </row>
    <row r="15" spans="1:27" ht="15" customHeight="1" x14ac:dyDescent="0.25">
      <c r="A15" s="23"/>
      <c r="B15" s="120" t="str">
        <f>T(Datasheet!B15)</f>
        <v/>
      </c>
      <c r="C15" s="121"/>
      <c r="D15" s="120"/>
      <c r="E15" s="119"/>
      <c r="F15" s="25"/>
      <c r="G15" s="25"/>
      <c r="H15" s="25" t="str">
        <f>T(Datasheet!H15)</f>
        <v>±0.7% of RDG + 2D</v>
      </c>
      <c r="I15" s="25"/>
      <c r="J15" s="25"/>
      <c r="K15" s="25"/>
      <c r="L15" s="25"/>
      <c r="M15" s="25"/>
      <c r="N15" s="25"/>
    </row>
    <row r="16" spans="1:27" ht="15" customHeight="1" x14ac:dyDescent="0.25">
      <c r="A16" s="29"/>
      <c r="B16" s="120" t="str">
        <f>T(Datasheet!B16)</f>
        <v>4 V</v>
      </c>
      <c r="C16" s="121">
        <f>Datasheet!C16</f>
        <v>1</v>
      </c>
      <c r="D16" s="120" t="str">
        <f>(Datasheet!D16)</f>
        <v>V</v>
      </c>
      <c r="E16" s="119" t="str">
        <f>IF(Datasheet!E16="*","!","")</f>
        <v/>
      </c>
      <c r="F16" s="25" t="str">
        <f ca="1">IF(CELL("type",Datasheet!F16)="v",FIXED(Datasheet!F16,K16,TRUE),T(Datasheet!F16))</f>
        <v/>
      </c>
      <c r="G16" s="25" t="str">
        <f ca="1">IF(CELL("type",Datasheet!G16)="v",FIXED(Datasheet!G16,K16,TRUE),T(Datasheet!G16))</f>
        <v>N/A</v>
      </c>
      <c r="H16" s="25" t="str">
        <f>"±"&amp;FIXED(Datasheet!L16,K16)&amp;" "&amp;D16</f>
        <v>±0.009 V</v>
      </c>
      <c r="I16" s="25" t="str">
        <f>N16&amp;" "&amp;D16</f>
        <v>0.00064 V</v>
      </c>
      <c r="J16" s="122" t="str">
        <f>IF(O16&lt;4,O16,"")</f>
        <v/>
      </c>
      <c r="K16" s="25">
        <v>3</v>
      </c>
      <c r="L16" s="25">
        <f>Datasheet!L16</f>
        <v>8.9999999999999993E-3</v>
      </c>
      <c r="M16" s="29">
        <v>6.4099999999999997E-4</v>
      </c>
      <c r="N16" s="25" t="str">
        <f t="shared" si="0"/>
        <v>0.00064</v>
      </c>
      <c r="O16" s="122">
        <f t="shared" si="1"/>
        <v>14.062499999999998</v>
      </c>
    </row>
    <row r="17" spans="1:15" ht="15" customHeight="1" x14ac:dyDescent="0.25">
      <c r="A17" s="29"/>
      <c r="B17" s="120" t="str">
        <f>T(Datasheet!B17)</f>
        <v/>
      </c>
      <c r="C17" s="121">
        <f>Datasheet!C17</f>
        <v>2</v>
      </c>
      <c r="D17" s="120" t="str">
        <f>(Datasheet!D17)</f>
        <v>V</v>
      </c>
      <c r="E17" s="119" t="str">
        <f>IF(Datasheet!E17="*","!","")</f>
        <v/>
      </c>
      <c r="F17" s="25" t="str">
        <f ca="1">IF(CELL("type",Datasheet!F17)="v",FIXED(Datasheet!F17,K17,TRUE),T(Datasheet!F17))</f>
        <v/>
      </c>
      <c r="G17" s="25" t="str">
        <f ca="1">IF(CELL("type",Datasheet!G17)="v",FIXED(Datasheet!G17,K17,TRUE),T(Datasheet!G17))</f>
        <v>N/A</v>
      </c>
      <c r="H17" s="25" t="str">
        <f>"±"&amp;FIXED(Datasheet!L17,K17)&amp;" "&amp;D17</f>
        <v>±0.016 V</v>
      </c>
      <c r="I17" s="25" t="str">
        <f t="shared" ref="I17:I24" si="2">N17&amp;" "&amp;D17</f>
        <v>0.00077 V</v>
      </c>
      <c r="J17" s="122" t="str">
        <f t="shared" ref="J17:J24" si="3">IF(O17&lt;4,O17,"")</f>
        <v/>
      </c>
      <c r="K17" s="25">
        <v>3</v>
      </c>
      <c r="L17" s="25">
        <f>Datasheet!L17</f>
        <v>1.6E-2</v>
      </c>
      <c r="M17" s="29">
        <v>7.7099999999999998E-4</v>
      </c>
      <c r="N17" s="25" t="str">
        <f t="shared" si="0"/>
        <v>0.00077</v>
      </c>
      <c r="O17" s="122">
        <f t="shared" si="1"/>
        <v>20.779220779220779</v>
      </c>
    </row>
    <row r="18" spans="1:15" ht="15" customHeight="1" x14ac:dyDescent="0.25">
      <c r="A18" s="29"/>
      <c r="B18" s="120" t="str">
        <f>T(Datasheet!B18)</f>
        <v/>
      </c>
      <c r="C18" s="121">
        <f>Datasheet!C18</f>
        <v>3</v>
      </c>
      <c r="D18" s="120" t="str">
        <f>(Datasheet!D18)</f>
        <v>V</v>
      </c>
      <c r="E18" s="119" t="str">
        <f>IF(Datasheet!E18="*","!","")</f>
        <v/>
      </c>
      <c r="F18" s="25" t="str">
        <f ca="1">IF(CELL("type",Datasheet!F18)="v",FIXED(Datasheet!F18,K18,TRUE),T(Datasheet!F18))</f>
        <v/>
      </c>
      <c r="G18" s="25" t="str">
        <f ca="1">IF(CELL("type",Datasheet!G18)="v",FIXED(Datasheet!G18,K18,TRUE),T(Datasheet!G18))</f>
        <v>N/A</v>
      </c>
      <c r="H18" s="25" t="str">
        <f>"±"&amp;FIXED(Datasheet!L18,K18)&amp;" "&amp;D18</f>
        <v>±0.023 V</v>
      </c>
      <c r="I18" s="25" t="str">
        <f t="shared" si="2"/>
        <v>0.00094 V</v>
      </c>
      <c r="J18" s="122" t="str">
        <f t="shared" si="3"/>
        <v/>
      </c>
      <c r="K18" s="25">
        <v>3</v>
      </c>
      <c r="L18" s="25">
        <f>Datasheet!L18</f>
        <v>2.3E-2</v>
      </c>
      <c r="M18" s="29">
        <v>9.4200000000000002E-4</v>
      </c>
      <c r="N18" s="25" t="str">
        <f t="shared" si="0"/>
        <v>0.00094</v>
      </c>
      <c r="O18" s="122">
        <f t="shared" si="1"/>
        <v>24.468085106382979</v>
      </c>
    </row>
    <row r="19" spans="1:15" ht="15" customHeight="1" x14ac:dyDescent="0.25">
      <c r="A19" s="29"/>
      <c r="B19" s="120" t="str">
        <f>T(Datasheet!B19)</f>
        <v>40 V</v>
      </c>
      <c r="C19" s="121">
        <f>Datasheet!C19</f>
        <v>10</v>
      </c>
      <c r="D19" s="120" t="str">
        <f>(Datasheet!D19)</f>
        <v>V</v>
      </c>
      <c r="E19" s="119" t="str">
        <f>IF(Datasheet!E19="*","!","")</f>
        <v/>
      </c>
      <c r="F19" s="25" t="str">
        <f ca="1">IF(CELL("type",Datasheet!F19)="v",FIXED(Datasheet!F19,K19,TRUE),T(Datasheet!F19))</f>
        <v/>
      </c>
      <c r="G19" s="25" t="str">
        <f ca="1">IF(CELL("type",Datasheet!G19)="v",FIXED(Datasheet!G19,K19,TRUE),T(Datasheet!G19))</f>
        <v>N/A</v>
      </c>
      <c r="H19" s="25" t="str">
        <f>"±"&amp;FIXED(Datasheet!L19,K19)&amp;" "&amp;D19</f>
        <v>±0.09 V</v>
      </c>
      <c r="I19" s="25" t="str">
        <f t="shared" si="2"/>
        <v>0.0064 V</v>
      </c>
      <c r="J19" s="122" t="str">
        <f t="shared" si="3"/>
        <v/>
      </c>
      <c r="K19" s="25">
        <v>2</v>
      </c>
      <c r="L19" s="25">
        <f>Datasheet!L19</f>
        <v>0.09</v>
      </c>
      <c r="M19" s="29">
        <v>6.4099999999999999E-3</v>
      </c>
      <c r="N19" s="25" t="str">
        <f t="shared" si="0"/>
        <v>0.0064</v>
      </c>
      <c r="O19" s="122">
        <f t="shared" si="1"/>
        <v>14.062499999999998</v>
      </c>
    </row>
    <row r="20" spans="1:15" ht="15" customHeight="1" x14ac:dyDescent="0.25">
      <c r="A20" s="29"/>
      <c r="B20" s="120" t="str">
        <f>T(Datasheet!B20)</f>
        <v/>
      </c>
      <c r="C20" s="121">
        <f>Datasheet!C20</f>
        <v>30</v>
      </c>
      <c r="D20" s="120" t="str">
        <f>(Datasheet!D20)</f>
        <v>V</v>
      </c>
      <c r="E20" s="119" t="str">
        <f>IF(Datasheet!E20="*","!","")</f>
        <v/>
      </c>
      <c r="F20" s="25" t="str">
        <f ca="1">IF(CELL("type",Datasheet!F20)="v",FIXED(Datasheet!F20,K20,TRUE),T(Datasheet!F20))</f>
        <v/>
      </c>
      <c r="G20" s="25" t="str">
        <f ca="1">IF(CELL("type",Datasheet!G20)="v",FIXED(Datasheet!G20,K20,TRUE),T(Datasheet!G20))</f>
        <v>N/A</v>
      </c>
      <c r="H20" s="25" t="str">
        <f>"±"&amp;FIXED(Datasheet!L20,K20)&amp;" "&amp;D20</f>
        <v>±0.23 V</v>
      </c>
      <c r="I20" s="25" t="str">
        <f t="shared" si="2"/>
        <v>0.0094 V</v>
      </c>
      <c r="J20" s="122" t="str">
        <f t="shared" si="3"/>
        <v/>
      </c>
      <c r="K20" s="25">
        <v>2</v>
      </c>
      <c r="L20" s="25">
        <f>Datasheet!L20</f>
        <v>0.23</v>
      </c>
      <c r="M20" s="29">
        <v>9.4199999999999996E-3</v>
      </c>
      <c r="N20" s="25" t="str">
        <f t="shared" si="0"/>
        <v>0.0094</v>
      </c>
      <c r="O20" s="122">
        <f t="shared" si="1"/>
        <v>24.468085106382979</v>
      </c>
    </row>
    <row r="21" spans="1:15" ht="15" customHeight="1" x14ac:dyDescent="0.25">
      <c r="A21" s="29"/>
      <c r="B21" s="120" t="str">
        <f>T(Datasheet!B21)</f>
        <v>400 V</v>
      </c>
      <c r="C21" s="121">
        <f>Datasheet!C21</f>
        <v>100</v>
      </c>
      <c r="D21" s="120" t="str">
        <f>(Datasheet!D21)</f>
        <v>V</v>
      </c>
      <c r="E21" s="119" t="str">
        <f>IF(Datasheet!E21="*","!","")</f>
        <v/>
      </c>
      <c r="F21" s="25" t="str">
        <f ca="1">IF(CELL("type",Datasheet!F21)="v",FIXED(Datasheet!F21,K21,TRUE),T(Datasheet!F21))</f>
        <v/>
      </c>
      <c r="G21" s="25" t="str">
        <f ca="1">IF(CELL("type",Datasheet!G21)="v",FIXED(Datasheet!G21,K21,TRUE),T(Datasheet!G21))</f>
        <v>N/A</v>
      </c>
      <c r="H21" s="25" t="str">
        <f>"±"&amp;FIXED(Datasheet!L21,K21)&amp;" "&amp;D21</f>
        <v>±0.9 V</v>
      </c>
      <c r="I21" s="25" t="str">
        <f t="shared" si="2"/>
        <v>0.071 V</v>
      </c>
      <c r="J21" s="122" t="str">
        <f t="shared" si="3"/>
        <v/>
      </c>
      <c r="K21" s="25">
        <v>1</v>
      </c>
      <c r="L21" s="25">
        <f>Datasheet!L21</f>
        <v>0.9</v>
      </c>
      <c r="M21" s="29">
        <v>7.0900000000000005E-2</v>
      </c>
      <c r="N21" s="25" t="str">
        <f t="shared" si="0"/>
        <v>0.071</v>
      </c>
      <c r="O21" s="122">
        <f t="shared" si="1"/>
        <v>12.67605633802817</v>
      </c>
    </row>
    <row r="22" spans="1:15" ht="15" customHeight="1" x14ac:dyDescent="0.25">
      <c r="A22" s="29"/>
      <c r="B22" s="120" t="str">
        <f>T(Datasheet!B22)</f>
        <v/>
      </c>
      <c r="C22" s="121">
        <f>Datasheet!C22</f>
        <v>300</v>
      </c>
      <c r="D22" s="120" t="str">
        <f>(Datasheet!D22)</f>
        <v>V</v>
      </c>
      <c r="E22" s="119" t="str">
        <f>IF(Datasheet!E22="*","!","")</f>
        <v/>
      </c>
      <c r="F22" s="25" t="str">
        <f ca="1">IF(CELL("type",Datasheet!F22)="v",FIXED(Datasheet!F22,K22,TRUE),T(Datasheet!F22))</f>
        <v/>
      </c>
      <c r="G22" s="25" t="str">
        <f ca="1">IF(CELL("type",Datasheet!G22)="v",FIXED(Datasheet!G22,K22,TRUE),T(Datasheet!G22))</f>
        <v>N/A</v>
      </c>
      <c r="H22" s="25" t="str">
        <f>"±"&amp;FIXED(Datasheet!L22,K22)&amp;" "&amp;D22</f>
        <v>±2.3 V</v>
      </c>
      <c r="I22" s="25" t="str">
        <f t="shared" si="2"/>
        <v>0.13 V</v>
      </c>
      <c r="J22" s="122" t="str">
        <f t="shared" si="3"/>
        <v/>
      </c>
      <c r="K22" s="25">
        <v>1</v>
      </c>
      <c r="L22" s="25">
        <f>Datasheet!L22</f>
        <v>2.2999999999999998</v>
      </c>
      <c r="M22" s="29">
        <v>0.13200000000000001</v>
      </c>
      <c r="N22" s="25" t="str">
        <f t="shared" si="0"/>
        <v>0.13</v>
      </c>
      <c r="O22" s="122">
        <f t="shared" si="1"/>
        <v>17.69230769230769</v>
      </c>
    </row>
    <row r="23" spans="1:15" ht="15" customHeight="1" x14ac:dyDescent="0.25">
      <c r="A23" s="29"/>
      <c r="B23" s="120" t="str">
        <f>T(Datasheet!B23)</f>
        <v>1000 V</v>
      </c>
      <c r="C23" s="121">
        <f>Datasheet!C23</f>
        <v>100</v>
      </c>
      <c r="D23" s="120" t="str">
        <f>(Datasheet!D23)</f>
        <v>V</v>
      </c>
      <c r="E23" s="119" t="str">
        <f>IF(Datasheet!E23="*","!","")</f>
        <v/>
      </c>
      <c r="F23" s="25" t="str">
        <f ca="1">IF(CELL("type",Datasheet!F23)="v",FIXED(Datasheet!F23,K23,TRUE),T(Datasheet!F23))</f>
        <v/>
      </c>
      <c r="G23" s="25" t="str">
        <f ca="1">IF(CELL("type",Datasheet!G23)="v",FIXED(Datasheet!G23,K23,TRUE),T(Datasheet!G23))</f>
        <v>N/A</v>
      </c>
      <c r="H23" s="25" t="str">
        <f>"±"&amp;FIXED(Datasheet!L23,K23)&amp;" "&amp;D23</f>
        <v>±3 V</v>
      </c>
      <c r="I23" s="25" t="str">
        <f t="shared" si="2"/>
        <v>0.58 V</v>
      </c>
      <c r="J23" s="122" t="str">
        <f t="shared" si="3"/>
        <v/>
      </c>
      <c r="K23" s="25">
        <v>0</v>
      </c>
      <c r="L23" s="25">
        <f>Datasheet!L23</f>
        <v>3</v>
      </c>
      <c r="M23" s="29">
        <v>0.57899999999999996</v>
      </c>
      <c r="N23" s="25" t="str">
        <f t="shared" si="0"/>
        <v>0.58</v>
      </c>
      <c r="O23" s="122">
        <f t="shared" si="1"/>
        <v>5.1724137931034484</v>
      </c>
    </row>
    <row r="24" spans="1:15" ht="15" customHeight="1" x14ac:dyDescent="0.25">
      <c r="A24" s="29"/>
      <c r="B24" s="120" t="str">
        <f>T(Datasheet!B24)</f>
        <v/>
      </c>
      <c r="C24" s="121">
        <f>Datasheet!C24</f>
        <v>800</v>
      </c>
      <c r="D24" s="120" t="str">
        <f>(Datasheet!D24)</f>
        <v>V</v>
      </c>
      <c r="E24" s="119" t="str">
        <f>IF(Datasheet!E24="*","!","")</f>
        <v/>
      </c>
      <c r="F24" s="25" t="str">
        <f ca="1">IF(CELL("type",Datasheet!F24)="v",FIXED(Datasheet!F24,K24,TRUE),T(Datasheet!F24))</f>
        <v/>
      </c>
      <c r="G24" s="25" t="str">
        <f ca="1">IF(CELL("type",Datasheet!G24)="v",FIXED(Datasheet!G24,K24,TRUE),T(Datasheet!G24))</f>
        <v>N/A</v>
      </c>
      <c r="H24" s="25" t="str">
        <f>"±"&amp;FIXED(Datasheet!L24,K24)&amp;" "&amp;D24</f>
        <v>±8 V</v>
      </c>
      <c r="I24" s="25" t="str">
        <f t="shared" si="2"/>
        <v>0.66 V</v>
      </c>
      <c r="J24" s="122" t="str">
        <f t="shared" si="3"/>
        <v/>
      </c>
      <c r="K24" s="25">
        <v>0</v>
      </c>
      <c r="L24" s="25">
        <f>Datasheet!L24</f>
        <v>8</v>
      </c>
      <c r="M24" s="29">
        <v>0.66300000000000003</v>
      </c>
      <c r="N24" s="25" t="str">
        <f t="shared" si="0"/>
        <v>0.66</v>
      </c>
      <c r="O24" s="122">
        <f t="shared" si="1"/>
        <v>12.121212121212121</v>
      </c>
    </row>
    <row r="25" spans="1:15" ht="15" customHeight="1" x14ac:dyDescent="0.25">
      <c r="A25" s="23"/>
      <c r="B25" s="120" t="str">
        <f>T(Datasheet!B25)</f>
        <v/>
      </c>
      <c r="C25" s="121"/>
      <c r="D25" s="120"/>
      <c r="E25" s="119"/>
      <c r="F25" s="25"/>
      <c r="G25" s="25"/>
      <c r="H25" s="25" t="str">
        <f>T(Datasheet!H25)</f>
        <v/>
      </c>
      <c r="I25" s="25"/>
      <c r="J25" s="25"/>
      <c r="K25" s="25"/>
      <c r="L25" s="25"/>
      <c r="M25" s="25"/>
      <c r="N25" s="25"/>
    </row>
    <row r="26" spans="1:15" ht="15" customHeight="1" x14ac:dyDescent="0.25">
      <c r="A26" s="23"/>
      <c r="B26" s="219" t="str">
        <f>T(Datasheet!B26)</f>
        <v>Frequency Tests @ 5 Vrms</v>
      </c>
      <c r="C26" s="219"/>
      <c r="D26" s="219"/>
      <c r="E26" s="119"/>
      <c r="F26" s="25"/>
      <c r="G26" s="25"/>
      <c r="H26" s="25" t="str">
        <f>T(Datasheet!H26)</f>
        <v>± 0.005% of RDG + 1D</v>
      </c>
      <c r="I26" s="25"/>
      <c r="J26" s="25"/>
      <c r="K26" s="25"/>
      <c r="L26" s="25"/>
      <c r="M26" s="25"/>
      <c r="N26" s="25"/>
    </row>
    <row r="27" spans="1:15" ht="15" customHeight="1" x14ac:dyDescent="0.25">
      <c r="A27" s="29"/>
      <c r="B27" s="120" t="str">
        <f>T(Datasheet!B27)</f>
        <v>199.99 Hz</v>
      </c>
      <c r="C27" s="121">
        <f>Datasheet!C27</f>
        <v>100</v>
      </c>
      <c r="D27" s="120" t="str">
        <f>(Datasheet!D27)</f>
        <v>Hz</v>
      </c>
      <c r="E27" s="119" t="str">
        <f>IF(Datasheet!E27="*","!","")</f>
        <v/>
      </c>
      <c r="F27" s="25" t="str">
        <f ca="1">IF(CELL("type",Datasheet!F27)="v",FIXED(Datasheet!F27,K27,TRUE),T(Datasheet!F27))</f>
        <v/>
      </c>
      <c r="G27" s="25" t="str">
        <f ca="1">IF(CELL("type",Datasheet!G27)="v",FIXED(Datasheet!G27,K27,TRUE),T(Datasheet!G27))</f>
        <v>N/A</v>
      </c>
      <c r="H27" s="25" t="str">
        <f>"±"&amp;FIXED(Datasheet!L27,K27)&amp;" "&amp;D27</f>
        <v>±0.02 Hz</v>
      </c>
      <c r="I27" s="25" t="str">
        <f>N27&amp;" "&amp;D27</f>
        <v>0.0064 Hz</v>
      </c>
      <c r="J27" s="122">
        <f>IF(O27&lt;4,O27,"")</f>
        <v>3.125</v>
      </c>
      <c r="K27" s="25">
        <v>2</v>
      </c>
      <c r="L27" s="25">
        <f>Datasheet!L27</f>
        <v>0.02</v>
      </c>
      <c r="M27" s="29">
        <v>6.3800000000000003E-3</v>
      </c>
      <c r="N27" s="25" t="str">
        <f t="shared" si="0"/>
        <v>0.0064</v>
      </c>
      <c r="O27" s="122">
        <f t="shared" si="1"/>
        <v>3.125</v>
      </c>
    </row>
    <row r="28" spans="1:15" ht="15" customHeight="1" x14ac:dyDescent="0.25">
      <c r="A28" s="29"/>
      <c r="B28" s="120" t="str">
        <f>T(Datasheet!B28)</f>
        <v>1999.9 Hz</v>
      </c>
      <c r="C28" s="121">
        <f>Datasheet!C28</f>
        <v>1000</v>
      </c>
      <c r="D28" s="120" t="str">
        <f>(Datasheet!D28)</f>
        <v>Hz</v>
      </c>
      <c r="E28" s="119" t="str">
        <f>IF(Datasheet!E28="*","!","")</f>
        <v/>
      </c>
      <c r="F28" s="25" t="str">
        <f ca="1">IF(CELL("type",Datasheet!F28)="v",FIXED(Datasheet!F28,K28,TRUE),T(Datasheet!F28))</f>
        <v/>
      </c>
      <c r="G28" s="25" t="str">
        <f ca="1">IF(CELL("type",Datasheet!G28)="v",FIXED(Datasheet!G28,K28,TRUE),T(Datasheet!G28))</f>
        <v>N/A</v>
      </c>
      <c r="H28" s="25" t="str">
        <f>"±"&amp;FIXED(Datasheet!L28,K28)&amp;" "&amp;D28</f>
        <v>±0.2 Hz</v>
      </c>
      <c r="I28" s="25" t="str">
        <f t="shared" ref="I28:I29" si="4">N28&amp;" "&amp;D28</f>
        <v>0.061 Hz</v>
      </c>
      <c r="J28" s="122">
        <f t="shared" ref="J28:J29" si="5">IF(O28&lt;4,O28,"")</f>
        <v>3.278688524590164</v>
      </c>
      <c r="K28" s="25">
        <v>1</v>
      </c>
      <c r="L28" s="25">
        <f>Datasheet!L28</f>
        <v>0.2</v>
      </c>
      <c r="M28" s="29">
        <v>6.1199999999999997E-2</v>
      </c>
      <c r="N28" s="25" t="str">
        <f t="shared" si="0"/>
        <v>0.061</v>
      </c>
      <c r="O28" s="122">
        <f t="shared" si="1"/>
        <v>3.278688524590164</v>
      </c>
    </row>
    <row r="29" spans="1:15" ht="15" customHeight="1" x14ac:dyDescent="0.25">
      <c r="A29" s="29"/>
      <c r="B29" s="120" t="str">
        <f>T(Datasheet!B29)</f>
        <v>19.999 kHz</v>
      </c>
      <c r="C29" s="121">
        <f>Datasheet!C29</f>
        <v>10</v>
      </c>
      <c r="D29" s="120" t="str">
        <f>(Datasheet!D29)</f>
        <v>kHz</v>
      </c>
      <c r="E29" s="119" t="str">
        <f>IF(Datasheet!E29="*","!","")</f>
        <v/>
      </c>
      <c r="F29" s="25" t="str">
        <f ca="1">IF(CELL("type",Datasheet!F29)="v",FIXED(Datasheet!F29,K29,TRUE),T(Datasheet!F29))</f>
        <v/>
      </c>
      <c r="G29" s="25" t="str">
        <f ca="1">IF(CELL("type",Datasheet!G29)="v",FIXED(Datasheet!G29,K29,TRUE),T(Datasheet!G29))</f>
        <v>N/A</v>
      </c>
      <c r="H29" s="25" t="str">
        <f>"±"&amp;FIXED(Datasheet!L29,K29)&amp;" "&amp;D29</f>
        <v>±0.002 kHz</v>
      </c>
      <c r="I29" s="25" t="str">
        <f t="shared" si="4"/>
        <v>0.00061 kHz</v>
      </c>
      <c r="J29" s="122">
        <f t="shared" si="5"/>
        <v>3.278688524590164</v>
      </c>
      <c r="K29" s="25">
        <v>3</v>
      </c>
      <c r="L29" s="25">
        <f>Datasheet!L29</f>
        <v>2E-3</v>
      </c>
      <c r="M29" s="29">
        <v>6.0899999999999995E-4</v>
      </c>
      <c r="N29" s="25" t="str">
        <f t="shared" si="0"/>
        <v>0.00061</v>
      </c>
      <c r="O29" s="122">
        <f t="shared" si="1"/>
        <v>3.278688524590164</v>
      </c>
    </row>
    <row r="30" spans="1:15" ht="15" customHeight="1" x14ac:dyDescent="0.25">
      <c r="A30" s="23"/>
      <c r="B30" s="120" t="str">
        <f>T(Datasheet!B30)</f>
        <v/>
      </c>
      <c r="C30" s="121"/>
      <c r="D30" s="120"/>
      <c r="E30" s="119"/>
      <c r="F30" s="25"/>
      <c r="G30" s="25"/>
      <c r="H30" s="25" t="str">
        <f>T(Datasheet!H30)</f>
        <v/>
      </c>
      <c r="I30" s="25"/>
      <c r="J30" s="25"/>
      <c r="K30" s="25"/>
      <c r="L30" s="25"/>
      <c r="M30" s="25"/>
      <c r="N30" s="25"/>
    </row>
    <row r="31" spans="1:15" ht="15" customHeight="1" x14ac:dyDescent="0.25">
      <c r="A31" s="23"/>
      <c r="B31" s="219" t="str">
        <f>T(Datasheet!B31)</f>
        <v>DC Voltage Tests</v>
      </c>
      <c r="C31" s="219"/>
      <c r="D31" s="219"/>
      <c r="E31" s="119"/>
      <c r="F31" s="25"/>
      <c r="G31" s="25"/>
      <c r="H31" s="25" t="str">
        <f>T(Datasheet!H31)</f>
        <v>± 0.1% of RDG + 1D</v>
      </c>
      <c r="I31" s="25"/>
      <c r="J31" s="25"/>
      <c r="K31" s="25"/>
      <c r="L31" s="25"/>
      <c r="M31" s="25"/>
      <c r="N31" s="25"/>
    </row>
    <row r="32" spans="1:15" ht="15" customHeight="1" x14ac:dyDescent="0.25">
      <c r="A32" s="29"/>
      <c r="B32" s="120" t="str">
        <f>T(Datasheet!B32)</f>
        <v>4 V</v>
      </c>
      <c r="C32" s="121">
        <f>Datasheet!C32</f>
        <v>1</v>
      </c>
      <c r="D32" s="120" t="str">
        <f>(Datasheet!D32)</f>
        <v>V</v>
      </c>
      <c r="E32" s="119" t="str">
        <f>IF(Datasheet!E32="*","!","")</f>
        <v/>
      </c>
      <c r="F32" s="25" t="str">
        <f ca="1">IF(CELL("type",Datasheet!F32)="v",FIXED(Datasheet!F32,K32,TRUE),T(Datasheet!F32))</f>
        <v/>
      </c>
      <c r="G32" s="25" t="str">
        <f ca="1">IF(CELL("type",Datasheet!G32)="v",FIXED(Datasheet!G32,K32,TRUE),T(Datasheet!G32))</f>
        <v>N/A</v>
      </c>
      <c r="H32" s="25" t="str">
        <f>"±"&amp;FIXED(Datasheet!L32,K32)&amp;" "&amp;D32</f>
        <v>±0.002 V</v>
      </c>
      <c r="I32" s="25" t="str">
        <f>N32&amp;" "&amp;D32</f>
        <v>0.00058 V</v>
      </c>
      <c r="J32" s="122">
        <f>IF(O32&lt;4,O32,"")</f>
        <v>3.4482758620689657</v>
      </c>
      <c r="K32" s="25">
        <v>3</v>
      </c>
      <c r="L32" s="25">
        <f>Datasheet!L32</f>
        <v>2E-3</v>
      </c>
      <c r="M32" s="29">
        <v>5.7899999999999998E-4</v>
      </c>
      <c r="N32" s="25" t="str">
        <f t="shared" si="0"/>
        <v>0.00058</v>
      </c>
      <c r="O32" s="122">
        <f t="shared" si="1"/>
        <v>3.4482758620689657</v>
      </c>
    </row>
    <row r="33" spans="1:15" ht="15" customHeight="1" x14ac:dyDescent="0.25">
      <c r="A33" s="29"/>
      <c r="B33" s="120" t="str">
        <f>T(Datasheet!B33)</f>
        <v/>
      </c>
      <c r="C33" s="121">
        <f>Datasheet!C33</f>
        <v>3</v>
      </c>
      <c r="D33" s="120" t="str">
        <f>(Datasheet!D33)</f>
        <v>V</v>
      </c>
      <c r="E33" s="119" t="str">
        <f>IF(Datasheet!E33="*","!","")</f>
        <v/>
      </c>
      <c r="F33" s="25" t="str">
        <f ca="1">IF(CELL("type",Datasheet!F33)="v",FIXED(Datasheet!F33,K33,TRUE),T(Datasheet!F33))</f>
        <v/>
      </c>
      <c r="G33" s="25" t="str">
        <f ca="1">IF(CELL("type",Datasheet!G33)="v",FIXED(Datasheet!G33,K33,TRUE),T(Datasheet!G33))</f>
        <v>N/A</v>
      </c>
      <c r="H33" s="25" t="str">
        <f>"±"&amp;FIXED(Datasheet!L33,K33)&amp;" "&amp;D33</f>
        <v>±0.004 V</v>
      </c>
      <c r="I33" s="25" t="str">
        <f t="shared" ref="I33:I39" si="6">N33&amp;" "&amp;D33</f>
        <v>0.00059 V</v>
      </c>
      <c r="J33" s="122" t="str">
        <f t="shared" ref="J33:J39" si="7">IF(O33&lt;4,O33,"")</f>
        <v/>
      </c>
      <c r="K33" s="25">
        <v>3</v>
      </c>
      <c r="L33" s="25">
        <f>Datasheet!L33</f>
        <v>4.0000000000000001E-3</v>
      </c>
      <c r="M33" s="29">
        <v>5.9000000000000003E-4</v>
      </c>
      <c r="N33" s="25" t="str">
        <f t="shared" si="0"/>
        <v>0.00059</v>
      </c>
      <c r="O33" s="122">
        <f t="shared" si="1"/>
        <v>6.7796610169491522</v>
      </c>
    </row>
    <row r="34" spans="1:15" ht="15" customHeight="1" x14ac:dyDescent="0.25">
      <c r="A34" s="29"/>
      <c r="B34" s="120" t="str">
        <f>T(Datasheet!B34)</f>
        <v>40 V</v>
      </c>
      <c r="C34" s="121">
        <f>Datasheet!C34</f>
        <v>10</v>
      </c>
      <c r="D34" s="120" t="str">
        <f>(Datasheet!D34)</f>
        <v>V</v>
      </c>
      <c r="E34" s="119" t="str">
        <f>IF(Datasheet!E34="*","!","")</f>
        <v/>
      </c>
      <c r="F34" s="25" t="str">
        <f ca="1">IF(CELL("type",Datasheet!F34)="v",FIXED(Datasheet!F34,K34,TRUE),T(Datasheet!F34))</f>
        <v/>
      </c>
      <c r="G34" s="25" t="str">
        <f ca="1">IF(CELL("type",Datasheet!G34)="v",FIXED(Datasheet!G34,K34,TRUE),T(Datasheet!G34))</f>
        <v>N/A</v>
      </c>
      <c r="H34" s="25" t="str">
        <f>"±"&amp;FIXED(Datasheet!L34,K34)&amp;" "&amp;D34</f>
        <v>±0.02 V</v>
      </c>
      <c r="I34" s="25" t="str">
        <f t="shared" si="6"/>
        <v>0.0058 V</v>
      </c>
      <c r="J34" s="122">
        <f t="shared" si="7"/>
        <v>3.4482758620689657</v>
      </c>
      <c r="K34" s="25">
        <v>2</v>
      </c>
      <c r="L34" s="25">
        <f>Datasheet!L34</f>
        <v>0.02</v>
      </c>
      <c r="M34" s="29">
        <v>5.79E-3</v>
      </c>
      <c r="N34" s="25" t="str">
        <f t="shared" si="0"/>
        <v>0.0058</v>
      </c>
      <c r="O34" s="122">
        <f t="shared" si="1"/>
        <v>3.4482758620689657</v>
      </c>
    </row>
    <row r="35" spans="1:15" ht="15" customHeight="1" x14ac:dyDescent="0.25">
      <c r="A35" s="29"/>
      <c r="B35" s="120" t="str">
        <f>T(Datasheet!B35)</f>
        <v/>
      </c>
      <c r="C35" s="121">
        <f>Datasheet!C35</f>
        <v>30</v>
      </c>
      <c r="D35" s="120" t="str">
        <f>(Datasheet!D35)</f>
        <v>V</v>
      </c>
      <c r="E35" s="119" t="str">
        <f>IF(Datasheet!E35="*","!","")</f>
        <v/>
      </c>
      <c r="F35" s="25" t="str">
        <f ca="1">IF(CELL("type",Datasheet!F35)="v",FIXED(Datasheet!F35,K35,TRUE),T(Datasheet!F35))</f>
        <v/>
      </c>
      <c r="G35" s="25" t="str">
        <f ca="1">IF(CELL("type",Datasheet!G35)="v",FIXED(Datasheet!G35,K35,TRUE),T(Datasheet!G35))</f>
        <v>N/A</v>
      </c>
      <c r="H35" s="25" t="str">
        <f>"±"&amp;FIXED(Datasheet!L35,K35)&amp;" "&amp;D35</f>
        <v>±0.04 V</v>
      </c>
      <c r="I35" s="25" t="str">
        <f t="shared" si="6"/>
        <v>0.0059 V</v>
      </c>
      <c r="J35" s="122" t="str">
        <f t="shared" si="7"/>
        <v/>
      </c>
      <c r="K35" s="25">
        <v>2</v>
      </c>
      <c r="L35" s="25">
        <f>Datasheet!L35</f>
        <v>0.04</v>
      </c>
      <c r="M35" s="29">
        <v>5.8999999999999999E-3</v>
      </c>
      <c r="N35" s="25" t="str">
        <f t="shared" si="0"/>
        <v>0.0059</v>
      </c>
      <c r="O35" s="122">
        <f t="shared" si="1"/>
        <v>6.7796610169491531</v>
      </c>
    </row>
    <row r="36" spans="1:15" ht="15" customHeight="1" x14ac:dyDescent="0.25">
      <c r="A36" s="29"/>
      <c r="B36" s="120" t="str">
        <f>T(Datasheet!B36)</f>
        <v>400 V</v>
      </c>
      <c r="C36" s="121">
        <f>Datasheet!C36</f>
        <v>100</v>
      </c>
      <c r="D36" s="120" t="str">
        <f>(Datasheet!D36)</f>
        <v>V</v>
      </c>
      <c r="E36" s="119" t="str">
        <f>IF(Datasheet!E36="*","!","")</f>
        <v/>
      </c>
      <c r="F36" s="25" t="str">
        <f ca="1">IF(CELL("type",Datasheet!F36)="v",FIXED(Datasheet!F36,K36,TRUE),T(Datasheet!F36))</f>
        <v/>
      </c>
      <c r="G36" s="25" t="str">
        <f ca="1">IF(CELL("type",Datasheet!G36)="v",FIXED(Datasheet!G36,K36,TRUE),T(Datasheet!G36))</f>
        <v>N/A</v>
      </c>
      <c r="H36" s="25" t="str">
        <f>"±"&amp;FIXED(Datasheet!L36,K36)&amp;" "&amp;D36</f>
        <v>±0.2 V</v>
      </c>
      <c r="I36" s="25" t="str">
        <f t="shared" si="6"/>
        <v>0.058 V</v>
      </c>
      <c r="J36" s="122">
        <f t="shared" si="7"/>
        <v>3.4482758620689657</v>
      </c>
      <c r="K36" s="25">
        <v>1</v>
      </c>
      <c r="L36" s="25">
        <f>Datasheet!L36</f>
        <v>0.2</v>
      </c>
      <c r="M36" s="29">
        <v>5.79E-2</v>
      </c>
      <c r="N36" s="25" t="str">
        <f t="shared" si="0"/>
        <v>0.058</v>
      </c>
      <c r="O36" s="122">
        <f t="shared" si="1"/>
        <v>3.4482758620689657</v>
      </c>
    </row>
    <row r="37" spans="1:15" ht="15" customHeight="1" x14ac:dyDescent="0.25">
      <c r="A37" s="29"/>
      <c r="B37" s="120" t="str">
        <f>T(Datasheet!B37)</f>
        <v/>
      </c>
      <c r="C37" s="121">
        <f>Datasheet!C37</f>
        <v>300</v>
      </c>
      <c r="D37" s="120" t="str">
        <f>(Datasheet!D37)</f>
        <v>V</v>
      </c>
      <c r="E37" s="119" t="str">
        <f>IF(Datasheet!E37="*","!","")</f>
        <v/>
      </c>
      <c r="F37" s="25" t="str">
        <f ca="1">IF(CELL("type",Datasheet!F37)="v",FIXED(Datasheet!F37,K37,TRUE),T(Datasheet!F37))</f>
        <v/>
      </c>
      <c r="G37" s="25" t="str">
        <f ca="1">IF(CELL("type",Datasheet!G37)="v",FIXED(Datasheet!G37,K37,TRUE),T(Datasheet!G37))</f>
        <v>N/A</v>
      </c>
      <c r="H37" s="25" t="str">
        <f>"±"&amp;FIXED(Datasheet!L37,K37)&amp;" "&amp;D37</f>
        <v>±0.4 V</v>
      </c>
      <c r="I37" s="25" t="str">
        <f t="shared" si="6"/>
        <v>0.059 V</v>
      </c>
      <c r="J37" s="122" t="str">
        <f t="shared" si="7"/>
        <v/>
      </c>
      <c r="K37" s="25">
        <v>1</v>
      </c>
      <c r="L37" s="25">
        <f>Datasheet!L37</f>
        <v>0.4</v>
      </c>
      <c r="M37" s="29">
        <v>5.9200000000000003E-2</v>
      </c>
      <c r="N37" s="25" t="str">
        <f t="shared" si="0"/>
        <v>0.059</v>
      </c>
      <c r="O37" s="122">
        <f t="shared" si="1"/>
        <v>6.7796610169491531</v>
      </c>
    </row>
    <row r="38" spans="1:15" ht="15" customHeight="1" x14ac:dyDescent="0.25">
      <c r="A38" s="29"/>
      <c r="B38" s="120" t="str">
        <f>T(Datasheet!B38)</f>
        <v>1000 V</v>
      </c>
      <c r="C38" s="121">
        <f>Datasheet!C38</f>
        <v>100</v>
      </c>
      <c r="D38" s="120" t="str">
        <f>(Datasheet!D38)</f>
        <v>V</v>
      </c>
      <c r="E38" s="119" t="str">
        <f>IF(Datasheet!E38="*","!","")</f>
        <v/>
      </c>
      <c r="F38" s="25" t="str">
        <f ca="1">IF(CELL("type",Datasheet!F38)="v",FIXED(Datasheet!F38,K38,TRUE),T(Datasheet!F38))</f>
        <v/>
      </c>
      <c r="G38" s="25" t="str">
        <f ca="1">IF(CELL("type",Datasheet!G38)="v",FIXED(Datasheet!G38,K38,TRUE),T(Datasheet!G38))</f>
        <v>N/A</v>
      </c>
      <c r="H38" s="25" t="str">
        <f>"±"&amp;FIXED(Datasheet!L38,K38)&amp;" "&amp;D38</f>
        <v>±1 V</v>
      </c>
      <c r="I38" s="25" t="str">
        <f t="shared" si="6"/>
        <v>0.58 V</v>
      </c>
      <c r="J38" s="122">
        <f t="shared" si="7"/>
        <v>1.7241379310344829</v>
      </c>
      <c r="K38" s="25">
        <v>0</v>
      </c>
      <c r="L38" s="25">
        <f>Datasheet!L38</f>
        <v>1</v>
      </c>
      <c r="M38" s="29">
        <v>0.57699999999999996</v>
      </c>
      <c r="N38" s="25" t="str">
        <f t="shared" si="0"/>
        <v>0.58</v>
      </c>
      <c r="O38" s="122">
        <f t="shared" si="1"/>
        <v>1.7241379310344829</v>
      </c>
    </row>
    <row r="39" spans="1:15" ht="15" customHeight="1" x14ac:dyDescent="0.25">
      <c r="A39" s="29"/>
      <c r="B39" s="120" t="str">
        <f>T(Datasheet!B39)</f>
        <v/>
      </c>
      <c r="C39" s="121">
        <f>Datasheet!C39</f>
        <v>800</v>
      </c>
      <c r="D39" s="120" t="str">
        <f>(Datasheet!D39)</f>
        <v>V</v>
      </c>
      <c r="E39" s="119" t="str">
        <f>IF(Datasheet!E39="*","!","")</f>
        <v/>
      </c>
      <c r="F39" s="25" t="str">
        <f ca="1">IF(CELL("type",Datasheet!F39)="v",FIXED(Datasheet!F39,K39,TRUE),T(Datasheet!F39))</f>
        <v/>
      </c>
      <c r="G39" s="25" t="str">
        <f ca="1">IF(CELL("type",Datasheet!G39)="v",FIXED(Datasheet!G39,K39,TRUE),T(Datasheet!G39))</f>
        <v>N/A</v>
      </c>
      <c r="H39" s="25" t="str">
        <f>"±"&amp;FIXED(Datasheet!L39,K39)&amp;" "&amp;D39</f>
        <v>±2 V</v>
      </c>
      <c r="I39" s="25" t="str">
        <f t="shared" si="6"/>
        <v>0.58 V</v>
      </c>
      <c r="J39" s="122">
        <f t="shared" si="7"/>
        <v>3.4482758620689657</v>
      </c>
      <c r="K39" s="25">
        <v>0</v>
      </c>
      <c r="L39" s="25">
        <f>Datasheet!L39</f>
        <v>2</v>
      </c>
      <c r="M39" s="29">
        <v>0.57799999999999996</v>
      </c>
      <c r="N39" s="25" t="str">
        <f t="shared" si="0"/>
        <v>0.58</v>
      </c>
      <c r="O39" s="122">
        <f t="shared" si="1"/>
        <v>3.4482758620689657</v>
      </c>
    </row>
    <row r="40" spans="1:15" ht="15" customHeight="1" x14ac:dyDescent="0.25">
      <c r="A40" s="23"/>
      <c r="B40" s="219" t="str">
        <f>T(Datasheet!B40)</f>
        <v>DC Millivolt Tests</v>
      </c>
      <c r="C40" s="219"/>
      <c r="D40" s="219"/>
      <c r="E40" s="119"/>
      <c r="F40" s="25"/>
      <c r="G40" s="25"/>
      <c r="H40" s="25" t="str">
        <f>T(Datasheet!H40)</f>
        <v>± 0.1% of RDG + 1D</v>
      </c>
      <c r="I40" s="25"/>
      <c r="J40" s="25"/>
      <c r="K40" s="25"/>
      <c r="L40" s="25"/>
      <c r="M40" s="25"/>
      <c r="N40" s="25"/>
    </row>
    <row r="41" spans="1:15" ht="15" customHeight="1" x14ac:dyDescent="0.25">
      <c r="A41" s="29"/>
      <c r="B41" s="120" t="str">
        <f>T(Datasheet!B41)</f>
        <v>400 mV</v>
      </c>
      <c r="C41" s="121">
        <f>Datasheet!C41</f>
        <v>100</v>
      </c>
      <c r="D41" s="120" t="str">
        <f>(Datasheet!D41)</f>
        <v>mV</v>
      </c>
      <c r="E41" s="119" t="str">
        <f>IF(Datasheet!E41="*","!","")</f>
        <v/>
      </c>
      <c r="F41" s="25" t="str">
        <f ca="1">IF(CELL("type",Datasheet!F41)="v",FIXED(Datasheet!F41,K41,TRUE),T(Datasheet!F41))</f>
        <v/>
      </c>
      <c r="G41" s="25" t="str">
        <f ca="1">IF(CELL("type",Datasheet!G41)="v",FIXED(Datasheet!G41,K41,TRUE),T(Datasheet!G41))</f>
        <v>N/A</v>
      </c>
      <c r="H41" s="25" t="str">
        <f>"±"&amp;FIXED(Datasheet!L41,K41)&amp;" "&amp;D41</f>
        <v>±0.2 mV</v>
      </c>
      <c r="I41" s="25" t="str">
        <f>N41&amp;" "&amp;D41</f>
        <v>0.058 mV</v>
      </c>
      <c r="J41" s="122">
        <f>IF(O41&lt;4,O41,"")</f>
        <v>3.4482758620689657</v>
      </c>
      <c r="K41" s="25">
        <v>1</v>
      </c>
      <c r="L41" s="25">
        <f>Datasheet!L41</f>
        <v>0.2</v>
      </c>
      <c r="M41" s="29">
        <v>5.8200000000000002E-2</v>
      </c>
      <c r="N41" s="25" t="str">
        <f t="shared" si="0"/>
        <v>0.058</v>
      </c>
      <c r="O41" s="122">
        <f t="shared" si="1"/>
        <v>3.4482758620689657</v>
      </c>
    </row>
    <row r="42" spans="1:15" ht="15" customHeight="1" x14ac:dyDescent="0.25">
      <c r="A42" s="29"/>
      <c r="B42" s="120" t="str">
        <f>T(Datasheet!B42)</f>
        <v/>
      </c>
      <c r="C42" s="121">
        <f>Datasheet!C42</f>
        <v>300</v>
      </c>
      <c r="D42" s="120" t="str">
        <f>(Datasheet!D42)</f>
        <v>mV</v>
      </c>
      <c r="E42" s="119" t="str">
        <f>IF(Datasheet!E42="*","!","")</f>
        <v/>
      </c>
      <c r="F42" s="25" t="str">
        <f ca="1">IF(CELL("type",Datasheet!F42)="v",FIXED(Datasheet!F42,K42,TRUE),T(Datasheet!F42))</f>
        <v/>
      </c>
      <c r="G42" s="25" t="str">
        <f ca="1">IF(CELL("type",Datasheet!G42)="v",FIXED(Datasheet!G42,K42,TRUE),T(Datasheet!G42))</f>
        <v>N/A</v>
      </c>
      <c r="H42" s="25" t="str">
        <f>"±"&amp;FIXED(Datasheet!L42,K42)&amp;" "&amp;D42</f>
        <v>±0.4 mV</v>
      </c>
      <c r="I42" s="25" t="str">
        <f>N42&amp;" "&amp;D42</f>
        <v>0.060 mV</v>
      </c>
      <c r="J42" s="122" t="str">
        <f>IF(O42&lt;4,O42,"")</f>
        <v/>
      </c>
      <c r="K42" s="25">
        <v>1</v>
      </c>
      <c r="L42" s="25">
        <f>Datasheet!L42</f>
        <v>0.4</v>
      </c>
      <c r="M42" s="29">
        <v>6.0000000000000005E-2</v>
      </c>
      <c r="N42" s="25" t="str">
        <f t="shared" si="0"/>
        <v>0.060</v>
      </c>
      <c r="O42" s="122">
        <f t="shared" si="1"/>
        <v>6.666666666666667</v>
      </c>
    </row>
    <row r="43" spans="1:15" ht="15" customHeight="1" x14ac:dyDescent="0.25">
      <c r="A43" s="23"/>
      <c r="B43" s="120" t="str">
        <f>T(Datasheet!B43)</f>
        <v/>
      </c>
      <c r="C43" s="121"/>
      <c r="D43" s="120"/>
      <c r="E43" s="119"/>
      <c r="F43" s="25"/>
      <c r="G43" s="25"/>
      <c r="H43" s="25" t="str">
        <f>T(Datasheet!H43)</f>
        <v/>
      </c>
      <c r="I43" s="25"/>
      <c r="J43" s="25"/>
      <c r="K43" s="25"/>
      <c r="L43" s="25"/>
      <c r="M43" s="25"/>
      <c r="N43" s="25"/>
    </row>
    <row r="44" spans="1:15" ht="15" customHeight="1" x14ac:dyDescent="0.25">
      <c r="A44" s="23"/>
      <c r="B44" s="219" t="str">
        <f>T(Datasheet!B44)</f>
        <v>Resistance Tests</v>
      </c>
      <c r="C44" s="219"/>
      <c r="D44" s="219"/>
      <c r="E44" s="119"/>
      <c r="F44" s="25"/>
      <c r="G44" s="25"/>
      <c r="H44" s="25" t="str">
        <f>T(Datasheet!H44)</f>
        <v>± 0.2% of RDG + 2D</v>
      </c>
      <c r="I44" s="25"/>
      <c r="J44" s="25"/>
      <c r="K44" s="25"/>
      <c r="L44" s="25"/>
      <c r="M44" s="25"/>
      <c r="N44" s="25"/>
    </row>
    <row r="45" spans="1:15" ht="15" customHeight="1" x14ac:dyDescent="0.25">
      <c r="A45" s="29"/>
      <c r="B45" s="120" t="str">
        <f>T(Datasheet!B45)</f>
        <v>400 Ω</v>
      </c>
      <c r="C45" s="121">
        <f>Datasheet!C45</f>
        <v>120</v>
      </c>
      <c r="D45" s="120" t="str">
        <f>(Datasheet!D45)</f>
        <v>Ω</v>
      </c>
      <c r="E45" s="119" t="str">
        <f>IF(Datasheet!E45="*","!","")</f>
        <v/>
      </c>
      <c r="F45" s="25" t="str">
        <f ca="1">IF(CELL("type",Datasheet!F45)="v",FIXED(Datasheet!F45,K45,TRUE),T(Datasheet!F45))</f>
        <v/>
      </c>
      <c r="G45" s="25" t="str">
        <f ca="1">IF(CELL("type",Datasheet!G45)="v",FIXED(Datasheet!G45,K45,TRUE),T(Datasheet!G45))</f>
        <v>N/A</v>
      </c>
      <c r="H45" s="25" t="str">
        <f>"±"&amp;FIXED(Datasheet!L45,K45)&amp;" "&amp;D45</f>
        <v>±0.4 Ω</v>
      </c>
      <c r="I45" s="25" t="str">
        <f>N45&amp;" "&amp;D45</f>
        <v>0.059 Ω</v>
      </c>
      <c r="J45" s="122" t="str">
        <f>IF(O45&lt;4,O45,"")</f>
        <v/>
      </c>
      <c r="K45" s="25">
        <v>1</v>
      </c>
      <c r="L45" s="25">
        <f>Datasheet!L45</f>
        <v>0.4</v>
      </c>
      <c r="M45" s="29">
        <v>5.8599999999999999E-2</v>
      </c>
      <c r="N45" s="25" t="str">
        <f t="shared" si="0"/>
        <v>0.059</v>
      </c>
      <c r="O45" s="122">
        <f t="shared" si="1"/>
        <v>6.7796610169491531</v>
      </c>
    </row>
    <row r="46" spans="1:15" ht="15" customHeight="1" x14ac:dyDescent="0.25">
      <c r="A46" s="29"/>
      <c r="B46" s="120" t="str">
        <f>T(Datasheet!B46)</f>
        <v/>
      </c>
      <c r="C46" s="121">
        <f>Datasheet!C46</f>
        <v>300</v>
      </c>
      <c r="D46" s="120" t="str">
        <f>(Datasheet!D46)</f>
        <v>Ω</v>
      </c>
      <c r="E46" s="119" t="str">
        <f>IF(Datasheet!E46="*","!","")</f>
        <v/>
      </c>
      <c r="F46" s="25" t="str">
        <f ca="1">IF(CELL("type",Datasheet!F46)="v",FIXED(Datasheet!F46,K46,TRUE),T(Datasheet!F46))</f>
        <v/>
      </c>
      <c r="G46" s="25" t="str">
        <f ca="1">IF(CELL("type",Datasheet!G46)="v",FIXED(Datasheet!G46,K46,TRUE),T(Datasheet!G46))</f>
        <v>N/A</v>
      </c>
      <c r="H46" s="25" t="str">
        <f>"±"&amp;FIXED(Datasheet!L46,K46)&amp;" "&amp;D46</f>
        <v>±0.8 Ω</v>
      </c>
      <c r="I46" s="25" t="str">
        <f>N46&amp;" "&amp;D46</f>
        <v>0.062 Ω</v>
      </c>
      <c r="J46" s="122" t="str">
        <f>IF(O46&lt;4,O46,"")</f>
        <v/>
      </c>
      <c r="K46" s="25">
        <v>1</v>
      </c>
      <c r="L46" s="25">
        <f>Datasheet!L46</f>
        <v>0.8</v>
      </c>
      <c r="M46" s="29">
        <v>6.2E-2</v>
      </c>
      <c r="N46" s="25" t="str">
        <f t="shared" si="0"/>
        <v>0.062</v>
      </c>
      <c r="O46" s="122">
        <f t="shared" si="1"/>
        <v>12.903225806451614</v>
      </c>
    </row>
    <row r="47" spans="1:15" ht="15" customHeight="1" x14ac:dyDescent="0.25">
      <c r="A47" s="23"/>
      <c r="B47" s="120" t="str">
        <f>T(Datasheet!B47)</f>
        <v/>
      </c>
      <c r="C47" s="121" t="str">
        <f>T(Datasheet!B47)</f>
        <v/>
      </c>
      <c r="D47" s="120"/>
      <c r="E47" s="119"/>
      <c r="F47" s="25"/>
      <c r="G47" s="25"/>
      <c r="H47" s="25" t="str">
        <f>T(Datasheet!H47)</f>
        <v>±0.2% of RDG + 1D</v>
      </c>
      <c r="I47" s="25"/>
      <c r="J47" s="25"/>
      <c r="K47" s="25"/>
      <c r="L47" s="25"/>
      <c r="M47" s="25"/>
      <c r="N47" s="25"/>
    </row>
    <row r="48" spans="1:15" ht="15" customHeight="1" x14ac:dyDescent="0.25">
      <c r="A48" s="29"/>
      <c r="B48" s="120" t="str">
        <f>T(Datasheet!B48)</f>
        <v>4 kΩ</v>
      </c>
      <c r="C48" s="121">
        <f>Datasheet!C48</f>
        <v>1.2</v>
      </c>
      <c r="D48" s="120" t="str">
        <f>(Datasheet!D48)</f>
        <v>kΩ</v>
      </c>
      <c r="E48" s="119" t="str">
        <f>IF(Datasheet!E48="*","!","")</f>
        <v/>
      </c>
      <c r="F48" s="25" t="str">
        <f ca="1">IF(CELL("type",Datasheet!F48)="v",FIXED(Datasheet!F48,K48,TRUE),T(Datasheet!F48))</f>
        <v/>
      </c>
      <c r="G48" s="25" t="str">
        <f ca="1">IF(CELL("type",Datasheet!G48)="v",FIXED(Datasheet!G48,K48,TRUE),T(Datasheet!G48))</f>
        <v>N/A</v>
      </c>
      <c r="H48" s="25" t="str">
        <f>"±"&amp;FIXED(Datasheet!L48,K48)&amp;" "&amp;D48</f>
        <v>±0.003 kΩ</v>
      </c>
      <c r="I48" s="25" t="str">
        <f>N48&amp;" "&amp;D48</f>
        <v>0.00059 kΩ</v>
      </c>
      <c r="J48" s="122" t="str">
        <f>IF(O48&lt;4,O48,"")</f>
        <v/>
      </c>
      <c r="K48" s="25">
        <v>3</v>
      </c>
      <c r="L48" s="25">
        <f>Datasheet!L48</f>
        <v>3.0000000000000001E-3</v>
      </c>
      <c r="M48" s="29">
        <v>5.8599999999999993E-4</v>
      </c>
      <c r="N48" s="25" t="str">
        <f t="shared" si="0"/>
        <v>0.00059</v>
      </c>
      <c r="O48" s="122">
        <f t="shared" si="1"/>
        <v>5.0847457627118642</v>
      </c>
    </row>
    <row r="49" spans="1:15" ht="15" customHeight="1" x14ac:dyDescent="0.25">
      <c r="A49" s="29"/>
      <c r="B49" s="120" t="str">
        <f>T(Datasheet!B49)</f>
        <v/>
      </c>
      <c r="C49" s="121">
        <f>Datasheet!C49</f>
        <v>3</v>
      </c>
      <c r="D49" s="120" t="str">
        <f>(Datasheet!D49)</f>
        <v>kΩ</v>
      </c>
      <c r="E49" s="119" t="str">
        <f>IF(Datasheet!E49="*","!","")</f>
        <v/>
      </c>
      <c r="F49" s="25" t="str">
        <f ca="1">IF(CELL("type",Datasheet!F49)="v",FIXED(Datasheet!F49,K49,TRUE),T(Datasheet!F49))</f>
        <v/>
      </c>
      <c r="G49" s="25" t="str">
        <f ca="1">IF(CELL("type",Datasheet!G49)="v",FIXED(Datasheet!G49,K49,TRUE),T(Datasheet!G49))</f>
        <v>N/A</v>
      </c>
      <c r="H49" s="25" t="str">
        <f>"±"&amp;FIXED(Datasheet!L49,K49)&amp;" "&amp;D49</f>
        <v>±0.007 kΩ</v>
      </c>
      <c r="I49" s="25" t="str">
        <f t="shared" ref="I49:I54" si="8">N49&amp;" "&amp;D49</f>
        <v>0.00062 kΩ</v>
      </c>
      <c r="J49" s="122" t="str">
        <f t="shared" ref="J49:J53" si="9">IF(O49&lt;4,O49,"")</f>
        <v/>
      </c>
      <c r="K49" s="25">
        <v>3</v>
      </c>
      <c r="L49" s="25">
        <f>Datasheet!L49</f>
        <v>7.0000000000000001E-3</v>
      </c>
      <c r="M49" s="29">
        <v>6.2E-4</v>
      </c>
      <c r="N49" s="25" t="str">
        <f t="shared" si="0"/>
        <v>0.00062</v>
      </c>
      <c r="O49" s="122">
        <f t="shared" si="1"/>
        <v>11.290322580645162</v>
      </c>
    </row>
    <row r="50" spans="1:15" ht="15" customHeight="1" x14ac:dyDescent="0.25">
      <c r="A50" s="29"/>
      <c r="B50" s="120" t="str">
        <f>T(Datasheet!B50)</f>
        <v>40 kΩ</v>
      </c>
      <c r="C50" s="121">
        <f>Datasheet!C50</f>
        <v>12</v>
      </c>
      <c r="D50" s="120" t="str">
        <f>(Datasheet!D50)</f>
        <v>kΩ</v>
      </c>
      <c r="E50" s="119" t="str">
        <f>IF(Datasheet!E50="*","!","")</f>
        <v/>
      </c>
      <c r="F50" s="25" t="str">
        <f ca="1">IF(CELL("type",Datasheet!F50)="v",FIXED(Datasheet!F50,K50,TRUE),T(Datasheet!F50))</f>
        <v/>
      </c>
      <c r="G50" s="25" t="str">
        <f ca="1">IF(CELL("type",Datasheet!G50)="v",FIXED(Datasheet!G50,K50,TRUE),T(Datasheet!G50))</f>
        <v>N/A</v>
      </c>
      <c r="H50" s="25" t="str">
        <f>"±"&amp;FIXED(Datasheet!L50,K50)&amp;" "&amp;D50</f>
        <v>±0.03 kΩ</v>
      </c>
      <c r="I50" s="25" t="str">
        <f t="shared" si="8"/>
        <v>0.0059 kΩ</v>
      </c>
      <c r="J50" s="122" t="str">
        <f t="shared" si="9"/>
        <v/>
      </c>
      <c r="K50" s="25">
        <v>2</v>
      </c>
      <c r="L50" s="25">
        <f>Datasheet!L50</f>
        <v>0.03</v>
      </c>
      <c r="M50" s="29">
        <v>5.8600000000000006E-3</v>
      </c>
      <c r="N50" s="25" t="str">
        <f t="shared" si="0"/>
        <v>0.0059</v>
      </c>
      <c r="O50" s="122">
        <f t="shared" si="1"/>
        <v>5.0847457627118642</v>
      </c>
    </row>
    <row r="51" spans="1:15" ht="15" customHeight="1" x14ac:dyDescent="0.25">
      <c r="A51" s="29"/>
      <c r="B51" s="120" t="str">
        <f>T(Datasheet!B51)</f>
        <v/>
      </c>
      <c r="C51" s="121">
        <f>Datasheet!C51</f>
        <v>30</v>
      </c>
      <c r="D51" s="120" t="str">
        <f>(Datasheet!D51)</f>
        <v>kΩ</v>
      </c>
      <c r="E51" s="119" t="str">
        <f>IF(Datasheet!E51="*","!","")</f>
        <v/>
      </c>
      <c r="F51" s="25" t="str">
        <f ca="1">IF(CELL("type",Datasheet!F51)="v",FIXED(Datasheet!F51,K51,TRUE),T(Datasheet!F51))</f>
        <v/>
      </c>
      <c r="G51" s="25" t="str">
        <f ca="1">IF(CELL("type",Datasheet!G51)="v",FIXED(Datasheet!G51,K51,TRUE),T(Datasheet!G51))</f>
        <v>N/A</v>
      </c>
      <c r="H51" s="25" t="str">
        <f>"±"&amp;FIXED(Datasheet!L51,K51)&amp;" "&amp;D51</f>
        <v>±0.07 kΩ</v>
      </c>
      <c r="I51" s="25" t="str">
        <f t="shared" si="8"/>
        <v>0.0062 kΩ</v>
      </c>
      <c r="J51" s="122" t="str">
        <f t="shared" si="9"/>
        <v/>
      </c>
      <c r="K51" s="25">
        <v>2</v>
      </c>
      <c r="L51" s="25">
        <f>Datasheet!L51</f>
        <v>7.0000000000000007E-2</v>
      </c>
      <c r="M51" s="29">
        <v>6.2000000000000006E-3</v>
      </c>
      <c r="N51" s="25" t="str">
        <f t="shared" si="0"/>
        <v>0.0062</v>
      </c>
      <c r="O51" s="122">
        <f t="shared" si="1"/>
        <v>11.290322580645162</v>
      </c>
    </row>
    <row r="52" spans="1:15" ht="15" customHeight="1" x14ac:dyDescent="0.25">
      <c r="A52" s="29"/>
      <c r="B52" s="120" t="str">
        <f>T(Datasheet!B52)</f>
        <v>400 kΩ</v>
      </c>
      <c r="C52" s="121">
        <f>Datasheet!C52</f>
        <v>120</v>
      </c>
      <c r="D52" s="120" t="str">
        <f>(Datasheet!D52)</f>
        <v>kΩ</v>
      </c>
      <c r="E52" s="119" t="str">
        <f>IF(Datasheet!E52="*","!","")</f>
        <v/>
      </c>
      <c r="F52" s="25" t="str">
        <f ca="1">IF(CELL("type",Datasheet!F52)="v",FIXED(Datasheet!F52,K52,TRUE),T(Datasheet!F52))</f>
        <v/>
      </c>
      <c r="G52" s="25" t="str">
        <f ca="1">IF(CELL("type",Datasheet!G52)="v",FIXED(Datasheet!G52,K52,TRUE),T(Datasheet!G52))</f>
        <v>N/A</v>
      </c>
      <c r="H52" s="25" t="str">
        <f>"±"&amp;FIXED(Datasheet!L52,K52)&amp;" "&amp;D52</f>
        <v>±0.3 kΩ</v>
      </c>
      <c r="I52" s="25" t="str">
        <f t="shared" si="8"/>
        <v>0.059 kΩ</v>
      </c>
      <c r="J52" s="122" t="str">
        <f t="shared" si="9"/>
        <v/>
      </c>
      <c r="K52" s="25">
        <v>1</v>
      </c>
      <c r="L52" s="25">
        <f>Datasheet!L52</f>
        <v>0.3</v>
      </c>
      <c r="M52" s="29">
        <v>5.91E-2</v>
      </c>
      <c r="N52" s="25" t="str">
        <f t="shared" si="0"/>
        <v>0.059</v>
      </c>
      <c r="O52" s="122">
        <f t="shared" si="1"/>
        <v>5.0847457627118642</v>
      </c>
    </row>
    <row r="53" spans="1:15" ht="15" customHeight="1" x14ac:dyDescent="0.25">
      <c r="A53" s="29"/>
      <c r="B53" s="120" t="str">
        <f>T(Datasheet!B53)</f>
        <v/>
      </c>
      <c r="C53" s="121">
        <f>Datasheet!C53</f>
        <v>200</v>
      </c>
      <c r="D53" s="120" t="str">
        <f>(Datasheet!D53)</f>
        <v>kΩ</v>
      </c>
      <c r="E53" s="119" t="str">
        <f>IF(Datasheet!E53="*","!","")</f>
        <v/>
      </c>
      <c r="F53" s="25" t="str">
        <f ca="1">IF(CELL("type",Datasheet!F53)="v",FIXED(Datasheet!F53,K53,TRUE),T(Datasheet!F53))</f>
        <v/>
      </c>
      <c r="G53" s="25" t="str">
        <f ca="1">IF(CELL("type",Datasheet!G53)="v",FIXED(Datasheet!G53,K53,TRUE),T(Datasheet!G53))</f>
        <v>N/A</v>
      </c>
      <c r="H53" s="25" t="str">
        <f>"±"&amp;FIXED(Datasheet!L53,K53)&amp;" "&amp;D53</f>
        <v>±0.5 kΩ</v>
      </c>
      <c r="I53" s="25" t="str">
        <f t="shared" si="8"/>
        <v>0.061 kΩ</v>
      </c>
      <c r="J53" s="122" t="str">
        <f t="shared" si="9"/>
        <v/>
      </c>
      <c r="K53" s="25">
        <v>1</v>
      </c>
      <c r="L53" s="25">
        <f>Datasheet!L53</f>
        <v>0.5</v>
      </c>
      <c r="M53" s="25">
        <v>6.1199999999999997E-2</v>
      </c>
      <c r="N53" s="25" t="str">
        <f t="shared" si="0"/>
        <v>0.061</v>
      </c>
      <c r="O53" s="122">
        <f t="shared" si="1"/>
        <v>8.1967213114754092</v>
      </c>
    </row>
    <row r="54" spans="1:15" ht="15" customHeight="1" x14ac:dyDescent="0.25">
      <c r="A54" s="23"/>
      <c r="B54" s="120" t="str">
        <f>T(Datasheet!B54)</f>
        <v/>
      </c>
      <c r="C54" s="121">
        <f>Datasheet!C54</f>
        <v>300</v>
      </c>
      <c r="D54" s="120" t="str">
        <f>(Datasheet!D54)</f>
        <v>kΩ</v>
      </c>
      <c r="E54" s="119" t="str">
        <f>IF(Datasheet!E54="*","!","")</f>
        <v/>
      </c>
      <c r="F54" s="25" t="str">
        <f ca="1">IF(CELL("type",Datasheet!F54)="v",FIXED(Datasheet!F54,K54,TRUE),T(Datasheet!F54))</f>
        <v/>
      </c>
      <c r="G54" s="25" t="str">
        <f ca="1">IF(CELL("type",Datasheet!G54)="v",FIXED(Datasheet!G54,K54,TRUE),T(Datasheet!G54))</f>
        <v>N/A</v>
      </c>
      <c r="H54" s="25" t="str">
        <f>"±"&amp;FIXED(Datasheet!L54,K54)&amp;" "&amp;D54</f>
        <v>±0.7 kΩ</v>
      </c>
      <c r="I54" s="25" t="str">
        <f t="shared" si="8"/>
        <v>0.065 kΩ</v>
      </c>
      <c r="J54" s="25"/>
      <c r="K54" s="25">
        <v>1</v>
      </c>
      <c r="L54" s="25">
        <f>Datasheet!L54</f>
        <v>0.7</v>
      </c>
      <c r="M54" s="25">
        <v>6.4799999999999996E-2</v>
      </c>
      <c r="N54" s="25" t="str">
        <f t="shared" si="0"/>
        <v>0.065</v>
      </c>
      <c r="O54" s="122">
        <f t="shared" si="1"/>
        <v>10.769230769230768</v>
      </c>
    </row>
    <row r="55" spans="1:15" ht="15" customHeight="1" x14ac:dyDescent="0.25">
      <c r="A55" s="23"/>
      <c r="B55" s="120" t="str">
        <f>T(Datasheet!B55)</f>
        <v/>
      </c>
      <c r="C55" s="121" t="str">
        <f>T(Datasheet!B55)</f>
        <v/>
      </c>
      <c r="D55" s="120"/>
      <c r="E55" s="119"/>
      <c r="F55" s="25"/>
      <c r="G55" s="25"/>
      <c r="H55" s="25" t="str">
        <f>T(Datasheet!H55)</f>
        <v>±0.35% of RDG + 3D</v>
      </c>
      <c r="I55" s="25"/>
      <c r="J55" s="25"/>
      <c r="K55" s="25"/>
      <c r="L55" s="25"/>
      <c r="N55" s="25"/>
    </row>
    <row r="56" spans="1:15" ht="15" customHeight="1" x14ac:dyDescent="0.25">
      <c r="A56" s="23"/>
      <c r="B56" s="120" t="str">
        <f>T(Datasheet!B56)</f>
        <v>4 MΩ</v>
      </c>
      <c r="C56" s="121">
        <f>Datasheet!C56</f>
        <v>1.2</v>
      </c>
      <c r="D56" s="120" t="str">
        <f>(Datasheet!D56)</f>
        <v>MΩ</v>
      </c>
      <c r="E56" s="119" t="str">
        <f>IF(Datasheet!E56="*","!","")</f>
        <v/>
      </c>
      <c r="F56" s="25" t="str">
        <f ca="1">IF(CELL("type",Datasheet!F56)="v",FIXED(Datasheet!F56,K56,TRUE),T(Datasheet!F56))</f>
        <v/>
      </c>
      <c r="G56" s="25" t="str">
        <f ca="1">IF(CELL("type",Datasheet!G56)="v",FIXED(Datasheet!G56,K56,TRUE),T(Datasheet!G56))</f>
        <v>N/A</v>
      </c>
      <c r="H56" s="25" t="str">
        <f>"±"&amp;FIXED(Datasheet!L56,K56)&amp;" "&amp;D56</f>
        <v>±0.007 MΩ</v>
      </c>
      <c r="I56" s="25" t="str">
        <f>N56&amp;" "&amp;D56</f>
        <v>0.00060 MΩ</v>
      </c>
      <c r="J56" s="122" t="str">
        <f>IF(O56&lt;4,O56,"")</f>
        <v/>
      </c>
      <c r="K56" s="25">
        <v>3</v>
      </c>
      <c r="L56" s="25">
        <f>Datasheet!L56</f>
        <v>7.0000000000000001E-3</v>
      </c>
      <c r="M56" s="29">
        <v>5.9999999999999995E-4</v>
      </c>
      <c r="N56" s="25" t="str">
        <f t="shared" ref="N56:N57" si="10">FIXED(M56,2-(1+INT(LOG10(ABS(M56)))),TRUE)</f>
        <v>0.00060</v>
      </c>
      <c r="O56" s="122">
        <f t="shared" si="1"/>
        <v>11.666666666666668</v>
      </c>
    </row>
    <row r="57" spans="1:15" ht="15" customHeight="1" x14ac:dyDescent="0.25">
      <c r="A57" s="23"/>
      <c r="B57" s="120" t="str">
        <f>T(Datasheet!B57)</f>
        <v/>
      </c>
      <c r="C57" s="121">
        <f>Datasheet!C57</f>
        <v>3</v>
      </c>
      <c r="D57" s="120" t="str">
        <f>(Datasheet!D57)</f>
        <v>MΩ</v>
      </c>
      <c r="E57" s="119" t="str">
        <f>IF(Datasheet!E57="*","!","")</f>
        <v/>
      </c>
      <c r="F57" s="25" t="str">
        <f ca="1">IF(CELL("type",Datasheet!F57)="v",FIXED(Datasheet!F57,K57,TRUE),T(Datasheet!F57))</f>
        <v/>
      </c>
      <c r="G57" s="25" t="str">
        <f ca="1">IF(CELL("type",Datasheet!G57)="v",FIXED(Datasheet!G57,K57,TRUE),T(Datasheet!G57))</f>
        <v>N/A</v>
      </c>
      <c r="H57" s="25" t="str">
        <f>"±"&amp;FIXED(Datasheet!L57,K57)&amp;" "&amp;D57</f>
        <v>±0.014 MΩ</v>
      </c>
      <c r="I57" s="25" t="str">
        <f t="shared" ref="I57" si="11">N57&amp;" "&amp;D57</f>
        <v>0.00069 MΩ</v>
      </c>
      <c r="J57" s="122" t="str">
        <f t="shared" ref="J57" si="12">IF(O57&lt;4,O57,"")</f>
        <v/>
      </c>
      <c r="K57" s="25">
        <v>3</v>
      </c>
      <c r="L57" s="25">
        <f>Datasheet!L57</f>
        <v>1.4E-2</v>
      </c>
      <c r="M57" s="29">
        <v>6.87E-4</v>
      </c>
      <c r="N57" s="25" t="str">
        <f t="shared" si="10"/>
        <v>0.00069</v>
      </c>
      <c r="O57" s="122">
        <f t="shared" si="1"/>
        <v>20.289855072463769</v>
      </c>
    </row>
    <row r="58" spans="1:15" ht="15" customHeight="1" x14ac:dyDescent="0.25">
      <c r="A58" s="23"/>
      <c r="B58" s="120" t="str">
        <f>T(Datasheet!B58)</f>
        <v/>
      </c>
      <c r="C58" s="121" t="str">
        <f>T(Datasheet!B58)</f>
        <v/>
      </c>
      <c r="D58" s="120"/>
      <c r="E58" s="119"/>
      <c r="F58" s="25"/>
      <c r="G58" s="25"/>
      <c r="H58" s="25" t="str">
        <f>T(Datasheet!H58)</f>
        <v>±2.5% of RDG + 3D</v>
      </c>
      <c r="I58" s="25"/>
      <c r="J58" s="25"/>
      <c r="K58" s="25"/>
      <c r="L58" s="25"/>
      <c r="N58" s="25"/>
    </row>
    <row r="59" spans="1:15" ht="15" customHeight="1" x14ac:dyDescent="0.25">
      <c r="A59" s="29"/>
      <c r="B59" s="120" t="str">
        <f>T(Datasheet!B59)</f>
        <v>40 MΩ</v>
      </c>
      <c r="C59" s="121">
        <f>Datasheet!C59</f>
        <v>12</v>
      </c>
      <c r="D59" s="120" t="str">
        <f>(Datasheet!D59)</f>
        <v>MΩ</v>
      </c>
      <c r="E59" s="119" t="str">
        <f>IF(Datasheet!E59="*","!","")</f>
        <v/>
      </c>
      <c r="F59" s="25" t="str">
        <f ca="1">IF(CELL("type",Datasheet!F59)="v",FIXED(Datasheet!F59,K59,TRUE),T(Datasheet!F59))</f>
        <v/>
      </c>
      <c r="G59" s="25" t="str">
        <f ca="1">IF(CELL("type",Datasheet!G59)="v",FIXED(Datasheet!G59,K59,TRUE),T(Datasheet!G59))</f>
        <v>N/A</v>
      </c>
      <c r="H59" s="25" t="str">
        <f>"±"&amp;FIXED(Datasheet!L59,K59)&amp;" "&amp;D59</f>
        <v>±0.33 MΩ</v>
      </c>
      <c r="I59" s="25" t="str">
        <f>N59&amp;" "&amp;D59</f>
        <v>0.013 MΩ</v>
      </c>
      <c r="J59" s="122" t="str">
        <f>IF(O59&lt;4,O59,"")</f>
        <v/>
      </c>
      <c r="K59" s="25">
        <v>2</v>
      </c>
      <c r="L59" s="25">
        <f>Datasheet!L59</f>
        <v>0.33</v>
      </c>
      <c r="M59" s="29">
        <v>1.26E-2</v>
      </c>
      <c r="N59" s="25" t="str">
        <f t="shared" ref="N59:N60" si="13">FIXED(M59,2-(1+INT(LOG10(ABS(M59)))),TRUE)</f>
        <v>0.013</v>
      </c>
      <c r="O59" s="122">
        <f t="shared" si="1"/>
        <v>25.384615384615387</v>
      </c>
    </row>
    <row r="60" spans="1:15" ht="15" customHeight="1" x14ac:dyDescent="0.25">
      <c r="A60" s="29"/>
      <c r="B60" s="120" t="str">
        <f>T(Datasheet!B60)</f>
        <v/>
      </c>
      <c r="C60" s="121">
        <f>Datasheet!C60</f>
        <v>30</v>
      </c>
      <c r="D60" s="120" t="str">
        <f>(Datasheet!D60)</f>
        <v>MΩ</v>
      </c>
      <c r="E60" s="119" t="str">
        <f>IF(Datasheet!E60="*","!","")</f>
        <v/>
      </c>
      <c r="F60" s="25" t="str">
        <f ca="1">IF(CELL("type",Datasheet!F60)="v",FIXED(Datasheet!F60,K60,TRUE),T(Datasheet!F60))</f>
        <v/>
      </c>
      <c r="G60" s="25" t="str">
        <f ca="1">IF(CELL("type",Datasheet!G60)="v",FIXED(Datasheet!G60,K60,TRUE),T(Datasheet!G60))</f>
        <v>N/A</v>
      </c>
      <c r="H60" s="25" t="str">
        <f>"±"&amp;FIXED(Datasheet!L60,K60)&amp;" "&amp;D60</f>
        <v>±0.78 MΩ</v>
      </c>
      <c r="I60" s="25" t="str">
        <f t="shared" ref="I60" si="14">N60&amp;" "&amp;D60</f>
        <v>0.026 MΩ</v>
      </c>
      <c r="J60" s="122" t="str">
        <f t="shared" ref="J60" si="15">IF(O60&lt;4,O60,"")</f>
        <v/>
      </c>
      <c r="K60" s="25">
        <v>2</v>
      </c>
      <c r="L60" s="25">
        <f>Datasheet!L60</f>
        <v>0.78</v>
      </c>
      <c r="M60" s="29">
        <v>2.58E-2</v>
      </c>
      <c r="N60" s="25" t="str">
        <f t="shared" si="13"/>
        <v>0.026</v>
      </c>
      <c r="O60" s="122">
        <f t="shared" si="1"/>
        <v>30.000000000000004</v>
      </c>
    </row>
    <row r="61" spans="1:15" ht="15" customHeight="1" x14ac:dyDescent="0.25">
      <c r="A61" s="23"/>
      <c r="B61" s="120" t="str">
        <f>T(Datasheet!B61)</f>
        <v/>
      </c>
      <c r="C61" s="121" t="str">
        <f>T(Datasheet!B61)</f>
        <v/>
      </c>
      <c r="D61" s="120"/>
      <c r="E61" s="119"/>
      <c r="F61" s="25"/>
      <c r="G61" s="25"/>
      <c r="H61" s="25" t="str">
        <f>T(Datasheet!H61)</f>
        <v/>
      </c>
      <c r="I61" s="25"/>
      <c r="J61" s="25"/>
      <c r="K61" s="25"/>
      <c r="L61" s="25"/>
      <c r="M61" s="25"/>
      <c r="N61" s="25"/>
      <c r="O61" s="25"/>
    </row>
    <row r="62" spans="1:15" ht="15" customHeight="1" x14ac:dyDescent="0.25">
      <c r="A62" s="23"/>
      <c r="B62" s="120" t="str">
        <f>T(Datasheet!B62)</f>
        <v>Continuity Beeper off @ 250 Ω</v>
      </c>
      <c r="C62" s="120"/>
      <c r="D62" s="120"/>
      <c r="E62" s="119" t="str">
        <f>IF(Datasheet!E62="*","!","")</f>
        <v/>
      </c>
      <c r="F62" s="25" t="str">
        <f>T(Datasheet!F62)</f>
        <v/>
      </c>
      <c r="G62" s="25" t="str">
        <f>T(Datasheet!G62)</f>
        <v>N/A</v>
      </c>
      <c r="H62" s="25" t="str">
        <f>"Pass/Fail"</f>
        <v>Pass/Fail</v>
      </c>
      <c r="I62" s="25"/>
      <c r="J62" s="25"/>
      <c r="K62" s="25"/>
      <c r="L62" s="25"/>
      <c r="M62" s="25"/>
      <c r="N62" s="25"/>
      <c r="O62" s="25"/>
    </row>
    <row r="63" spans="1:15" ht="15" customHeight="1" x14ac:dyDescent="0.25">
      <c r="A63" s="23"/>
      <c r="B63" s="120" t="str">
        <f>T(Datasheet!B63)</f>
        <v>Continuity Beeper on @ 100 Ω</v>
      </c>
      <c r="C63" s="120"/>
      <c r="D63" s="120"/>
      <c r="E63" s="119" t="str">
        <f>IF(Datasheet!E63="*","!","")</f>
        <v/>
      </c>
      <c r="F63" s="25" t="str">
        <f>T(Datasheet!F63)</f>
        <v/>
      </c>
      <c r="G63" s="25" t="str">
        <f>T(Datasheet!G63)</f>
        <v>N/A</v>
      </c>
      <c r="H63" s="25" t="str">
        <f>"Pass/Fail"</f>
        <v>Pass/Fail</v>
      </c>
      <c r="I63" s="25"/>
      <c r="J63" s="25"/>
      <c r="K63" s="25"/>
      <c r="L63" s="25"/>
      <c r="M63" s="25"/>
      <c r="N63" s="25"/>
      <c r="O63" s="25"/>
    </row>
    <row r="64" spans="1:15" ht="15" customHeight="1" x14ac:dyDescent="0.25">
      <c r="A64" s="23"/>
      <c r="B64" s="120" t="str">
        <f>T(Datasheet!B64)</f>
        <v/>
      </c>
      <c r="C64" s="121"/>
      <c r="D64" s="120"/>
      <c r="E64" s="119"/>
      <c r="F64" s="25"/>
      <c r="G64" s="25"/>
      <c r="H64" s="25" t="str">
        <f>T(Datasheet!H64)</f>
        <v/>
      </c>
      <c r="I64" s="25"/>
      <c r="J64" s="25"/>
      <c r="K64" s="25"/>
      <c r="L64" s="25"/>
      <c r="M64" s="25"/>
      <c r="N64" s="25"/>
      <c r="O64" s="25"/>
    </row>
    <row r="65" spans="1:16" ht="15" customHeight="1" x14ac:dyDescent="0.25">
      <c r="A65" s="23"/>
      <c r="B65" s="219" t="str">
        <f>T(Datasheet!B65)</f>
        <v>Diode Test</v>
      </c>
      <c r="C65" s="219"/>
      <c r="D65" s="219"/>
      <c r="E65" s="119"/>
      <c r="F65" s="25"/>
      <c r="G65" s="25"/>
      <c r="H65" s="25" t="str">
        <f>T(Datasheet!H65)</f>
        <v>±2.0% of RDG + 1D</v>
      </c>
      <c r="I65" s="25"/>
      <c r="J65" s="25"/>
      <c r="K65" s="25"/>
      <c r="L65" s="25"/>
      <c r="M65" s="25"/>
      <c r="N65" s="25"/>
      <c r="O65" s="25"/>
    </row>
    <row r="66" spans="1:16" ht="15" customHeight="1" x14ac:dyDescent="0.25">
      <c r="A66" s="29"/>
      <c r="B66" s="120" t="str">
        <f>T(Datasheet!B66)</f>
        <v/>
      </c>
      <c r="C66" s="121">
        <f>Datasheet!C66</f>
        <v>2</v>
      </c>
      <c r="D66" s="120" t="str">
        <f>(Datasheet!D66)</f>
        <v>V</v>
      </c>
      <c r="E66" s="119" t="str">
        <f>IF(Datasheet!E66="*","!","")</f>
        <v/>
      </c>
      <c r="F66" s="25" t="str">
        <f ca="1">IF(CELL("type",Datasheet!F66)="v",FIXED(Datasheet!F66,K66,TRUE),T(Datasheet!F66))</f>
        <v/>
      </c>
      <c r="G66" s="25" t="str">
        <f ca="1">IF(CELL("type",Datasheet!G66)="v",FIXED(Datasheet!G66,K66,TRUE),T(Datasheet!G66))</f>
        <v>N/A</v>
      </c>
      <c r="H66" s="25" t="str">
        <f>"±"&amp;FIXED(Datasheet!L66,K66)&amp;" "&amp;D66</f>
        <v>±0.041 V</v>
      </c>
      <c r="I66" s="25" t="str">
        <f>N66&amp;" "&amp;D66</f>
        <v>0.00058 V</v>
      </c>
      <c r="J66" s="122" t="str">
        <f>IF(O66&lt;4,O66,"")</f>
        <v/>
      </c>
      <c r="K66" s="25">
        <v>3</v>
      </c>
      <c r="L66" s="25">
        <f>Datasheet!L66</f>
        <v>4.1000000000000002E-2</v>
      </c>
      <c r="M66" s="115">
        <v>5.8299999999999997E-4</v>
      </c>
      <c r="N66" s="25" t="str">
        <f t="shared" ref="N66" si="16">FIXED(M66,2-(1+INT(LOG10(ABS(M66)))),TRUE)</f>
        <v>0.00058</v>
      </c>
      <c r="O66" s="122">
        <f t="shared" ref="O66" si="17">L66/N66</f>
        <v>70.689655172413794</v>
      </c>
      <c r="P66" s="29"/>
    </row>
    <row r="67" spans="1:16" ht="15" customHeight="1" x14ac:dyDescent="0.25">
      <c r="A67" s="23"/>
      <c r="B67" s="120"/>
      <c r="C67" s="121" t="str">
        <f>T(Datasheet!C67)</f>
        <v>Unit outputs 0.2-0.33</v>
      </c>
      <c r="D67" s="120" t="str">
        <f>(Datasheet!D67)</f>
        <v>mA</v>
      </c>
      <c r="E67" s="119" t="str">
        <f>IF(Datasheet!E67="*","!","")</f>
        <v/>
      </c>
      <c r="F67" s="25" t="str">
        <f>T(Datasheet!F67)</f>
        <v/>
      </c>
      <c r="G67" s="25" t="str">
        <f>T(Datasheet!G67)</f>
        <v>N/A</v>
      </c>
      <c r="H67" s="25" t="str">
        <f>"Pass/Fail"</f>
        <v>Pass/Fail</v>
      </c>
      <c r="I67" s="25"/>
      <c r="J67" s="25"/>
      <c r="K67" s="25"/>
      <c r="L67" s="25"/>
      <c r="N67" s="25"/>
      <c r="O67" s="25"/>
      <c r="P67" s="25"/>
    </row>
    <row r="68" spans="1:16" ht="15" customHeight="1" x14ac:dyDescent="0.25">
      <c r="A68" s="23"/>
      <c r="B68" s="120" t="str">
        <f>T(Datasheet!B68)</f>
        <v/>
      </c>
      <c r="C68" s="121"/>
      <c r="D68" s="120"/>
      <c r="E68" s="119"/>
      <c r="F68" s="25"/>
      <c r="G68" s="25"/>
      <c r="H68" s="25" t="str">
        <f>T(Datasheet!H68)</f>
        <v/>
      </c>
      <c r="I68" s="25"/>
      <c r="J68" s="25"/>
      <c r="K68" s="25"/>
      <c r="L68" s="25"/>
      <c r="N68" s="25"/>
      <c r="O68" s="25"/>
      <c r="P68" s="25"/>
    </row>
    <row r="69" spans="1:16" ht="15" customHeight="1" x14ac:dyDescent="0.25">
      <c r="A69" s="23"/>
      <c r="B69" s="219" t="str">
        <f>T(Datasheet!B69)</f>
        <v>DC Milliamps Tests</v>
      </c>
      <c r="C69" s="219"/>
      <c r="D69" s="219"/>
      <c r="E69" s="119"/>
      <c r="F69" s="25"/>
      <c r="G69" s="25"/>
      <c r="H69" s="25" t="str">
        <f>T(Datasheet!H69)</f>
        <v>± 0.05% of RDG + 2D</v>
      </c>
      <c r="I69" s="25"/>
      <c r="J69" s="25"/>
      <c r="K69" s="25"/>
      <c r="L69" s="25"/>
      <c r="N69" s="25"/>
      <c r="O69" s="25"/>
      <c r="P69" s="25"/>
    </row>
    <row r="70" spans="1:16" ht="15" customHeight="1" x14ac:dyDescent="0.25">
      <c r="A70" s="29"/>
      <c r="B70" s="120" t="str">
        <f>T(Datasheet!B70)</f>
        <v>30 mA</v>
      </c>
      <c r="C70" s="121">
        <f>Datasheet!C70</f>
        <v>4</v>
      </c>
      <c r="D70" s="120" t="str">
        <f>(Datasheet!D70)</f>
        <v>mA</v>
      </c>
      <c r="E70" s="119" t="str">
        <f>IF(Datasheet!E70="*","!","")</f>
        <v/>
      </c>
      <c r="F70" s="25" t="str">
        <f ca="1">IF(CELL("type",Datasheet!F70)="v",FIXED(Datasheet!F70,K70,TRUE),T(Datasheet!F70))</f>
        <v/>
      </c>
      <c r="G70" s="25" t="str">
        <f ca="1">IF(CELL("type",Datasheet!G70)="v",FIXED(Datasheet!G70,K70,TRUE),T(Datasheet!G70))</f>
        <v>N/A</v>
      </c>
      <c r="H70" s="25" t="str">
        <f>"±"&amp;FIXED(Datasheet!L70,K70)&amp;" "&amp;D70</f>
        <v>±0.004 mA</v>
      </c>
      <c r="I70" s="25" t="str">
        <f>N70&amp;" "&amp;D70</f>
        <v>0.00077 mA</v>
      </c>
      <c r="J70" s="122" t="str">
        <f>IF(O70&lt;4,O70,"")</f>
        <v/>
      </c>
      <c r="K70" s="25">
        <v>3</v>
      </c>
      <c r="L70" s="25">
        <f>Datasheet!L70</f>
        <v>4.0000000000000001E-3</v>
      </c>
      <c r="M70" s="115">
        <v>7.6599999999999997E-4</v>
      </c>
      <c r="N70" s="25" t="str">
        <f t="shared" ref="N70:N72" si="18">FIXED(M70,2-(1+INT(LOG10(ABS(M70)))),TRUE)</f>
        <v>0.00077</v>
      </c>
      <c r="O70" s="122">
        <f t="shared" ref="O70:O72" si="19">L70/N70</f>
        <v>5.1948051948051948</v>
      </c>
      <c r="P70" s="115"/>
    </row>
    <row r="71" spans="1:16" ht="15" customHeight="1" x14ac:dyDescent="0.25">
      <c r="A71" s="29"/>
      <c r="B71" s="120" t="str">
        <f>T(Datasheet!B71)</f>
        <v/>
      </c>
      <c r="C71" s="121">
        <f>Datasheet!C71</f>
        <v>12</v>
      </c>
      <c r="D71" s="120" t="str">
        <f>(Datasheet!D71)</f>
        <v>mA</v>
      </c>
      <c r="E71" s="119" t="str">
        <f>IF(Datasheet!E71="*","!","")</f>
        <v/>
      </c>
      <c r="F71" s="25" t="str">
        <f ca="1">IF(CELL("type",Datasheet!F71)="v",FIXED(Datasheet!F71,K71,TRUE),T(Datasheet!F71))</f>
        <v/>
      </c>
      <c r="G71" s="25" t="str">
        <f ca="1">IF(CELL("type",Datasheet!G71)="v",FIXED(Datasheet!G71,K71,TRUE),T(Datasheet!G71))</f>
        <v>N/A</v>
      </c>
      <c r="H71" s="25" t="str">
        <f>"±"&amp;FIXED(Datasheet!L71,K71)&amp;" "&amp;D71</f>
        <v>±0.008 mA</v>
      </c>
      <c r="I71" s="25" t="str">
        <f t="shared" ref="I71:I72" si="20">N71&amp;" "&amp;D71</f>
        <v>0.0013 mA</v>
      </c>
      <c r="J71" s="122" t="str">
        <f t="shared" ref="J71:J72" si="21">IF(O71&lt;4,O71,"")</f>
        <v/>
      </c>
      <c r="K71" s="25">
        <v>3</v>
      </c>
      <c r="L71" s="25">
        <f>Datasheet!L71</f>
        <v>8.0000000000000002E-3</v>
      </c>
      <c r="M71" s="115">
        <v>1.2600000000000001E-3</v>
      </c>
      <c r="N71" s="25" t="str">
        <f t="shared" si="18"/>
        <v>0.0013</v>
      </c>
      <c r="O71" s="122">
        <f t="shared" si="19"/>
        <v>6.1538461538461542</v>
      </c>
      <c r="P71" s="115"/>
    </row>
    <row r="72" spans="1:16" ht="15" customHeight="1" x14ac:dyDescent="0.25">
      <c r="A72" s="29"/>
      <c r="B72" s="120" t="str">
        <f>T(Datasheet!B72)</f>
        <v/>
      </c>
      <c r="C72" s="121">
        <f>Datasheet!C72</f>
        <v>20</v>
      </c>
      <c r="D72" s="120" t="str">
        <f>(Datasheet!D72)</f>
        <v>mA</v>
      </c>
      <c r="E72" s="119" t="str">
        <f>IF(Datasheet!E72="*","!","")</f>
        <v/>
      </c>
      <c r="F72" s="25" t="str">
        <f ca="1">IF(CELL("type",Datasheet!F72)="v",FIXED(Datasheet!F72,K72,TRUE),T(Datasheet!F72))</f>
        <v/>
      </c>
      <c r="G72" s="25" t="str">
        <f ca="1">IF(CELL("type",Datasheet!G72)="v",FIXED(Datasheet!G72,K72,TRUE),T(Datasheet!G72))</f>
        <v>N/A</v>
      </c>
      <c r="H72" s="25" t="str">
        <f>"±"&amp;FIXED(Datasheet!L72,K72)&amp;" "&amp;D72</f>
        <v>±0.012 mA</v>
      </c>
      <c r="I72" s="25" t="str">
        <f t="shared" si="20"/>
        <v>0.0018 mA</v>
      </c>
      <c r="J72" s="122" t="str">
        <f t="shared" si="21"/>
        <v/>
      </c>
      <c r="K72" s="25">
        <v>3</v>
      </c>
      <c r="L72" s="25">
        <f>Datasheet!L72</f>
        <v>1.2E-2</v>
      </c>
      <c r="M72" s="115">
        <v>1.8400000000000001E-3</v>
      </c>
      <c r="N72" s="25" t="str">
        <f t="shared" si="18"/>
        <v>0.0018</v>
      </c>
      <c r="O72" s="122">
        <f t="shared" si="19"/>
        <v>6.666666666666667</v>
      </c>
      <c r="P72" s="115"/>
    </row>
    <row r="73" spans="1:16" ht="15" customHeight="1" x14ac:dyDescent="0.25">
      <c r="A73" s="23"/>
      <c r="B73" s="120" t="str">
        <f>T(Datasheet!B73)</f>
        <v/>
      </c>
      <c r="C73" s="121"/>
      <c r="D73" s="120"/>
      <c r="E73" s="119"/>
      <c r="F73" s="25"/>
      <c r="G73" s="25"/>
      <c r="H73" s="25" t="str">
        <f>T(Datasheet!H73)</f>
        <v/>
      </c>
      <c r="I73" s="25"/>
      <c r="J73" s="25"/>
      <c r="K73" s="25"/>
      <c r="L73" s="25"/>
      <c r="N73" s="25"/>
      <c r="O73" s="25"/>
      <c r="P73" s="25"/>
    </row>
    <row r="74" spans="1:16" ht="15" customHeight="1" x14ac:dyDescent="0.25">
      <c r="A74" s="23"/>
      <c r="B74" s="219" t="str">
        <f>T(Datasheet!B74)</f>
        <v>DC Amps Tests</v>
      </c>
      <c r="C74" s="219"/>
      <c r="D74" s="219"/>
      <c r="E74" s="119"/>
      <c r="F74" s="25"/>
      <c r="G74" s="25"/>
      <c r="H74" s="25" t="str">
        <f>T(Datasheet!H74)</f>
        <v>± 0.2% of RDG + 2D</v>
      </c>
      <c r="I74" s="25"/>
      <c r="J74" s="25"/>
      <c r="K74" s="25"/>
      <c r="L74" s="25"/>
      <c r="N74" s="25"/>
      <c r="O74" s="25"/>
      <c r="P74" s="25"/>
    </row>
    <row r="75" spans="1:16" ht="15" customHeight="1" x14ac:dyDescent="0.25">
      <c r="A75" s="29"/>
      <c r="B75" s="120" t="str">
        <f>T(Datasheet!B75)</f>
        <v>1 A</v>
      </c>
      <c r="C75" s="121">
        <f>Datasheet!C75</f>
        <v>0.1</v>
      </c>
      <c r="D75" s="120" t="str">
        <f>(Datasheet!D75)</f>
        <v>A</v>
      </c>
      <c r="E75" s="119" t="str">
        <f>IF(Datasheet!E75="*","!","")</f>
        <v/>
      </c>
      <c r="F75" s="25" t="str">
        <f ca="1">IF(CELL("type",Datasheet!F75)="v",FIXED(Datasheet!F75,K75,TRUE),T(Datasheet!F75))</f>
        <v/>
      </c>
      <c r="G75" s="25" t="str">
        <f ca="1">IF(CELL("type",Datasheet!G75)="v",FIXED(Datasheet!G75,K75,TRUE),T(Datasheet!G75))</f>
        <v>N/A</v>
      </c>
      <c r="H75" s="25" t="str">
        <f>"±"&amp;FIXED(Datasheet!L75,K75)&amp;" "&amp;D75</f>
        <v>±0.002 A</v>
      </c>
      <c r="I75" s="25" t="str">
        <f>N75&amp;" "&amp;D75</f>
        <v>0.00058 A</v>
      </c>
      <c r="J75" s="122">
        <f>IF(O75&lt;4,O75,"")</f>
        <v>3.4482758620689657</v>
      </c>
      <c r="K75" s="25">
        <v>3</v>
      </c>
      <c r="L75" s="25">
        <f>Datasheet!L75</f>
        <v>2E-3</v>
      </c>
      <c r="M75" s="115">
        <v>5.7700000000000004E-4</v>
      </c>
      <c r="N75" s="25" t="str">
        <f t="shared" ref="N75:N76" si="22">FIXED(M75,2-(1+INT(LOG10(ABS(M75)))),TRUE)</f>
        <v>0.00058</v>
      </c>
      <c r="O75" s="122">
        <f t="shared" ref="O75:O76" si="23">L75/N75</f>
        <v>3.4482758620689657</v>
      </c>
      <c r="P75" s="29"/>
    </row>
    <row r="76" spans="1:16" ht="15" customHeight="1" x14ac:dyDescent="0.25">
      <c r="A76" s="29"/>
      <c r="B76" s="120" t="str">
        <f>T(Datasheet!B76)</f>
        <v/>
      </c>
      <c r="C76" s="121">
        <f>Datasheet!C76</f>
        <v>0.4</v>
      </c>
      <c r="D76" s="120" t="str">
        <f>(Datasheet!D76)</f>
        <v>A</v>
      </c>
      <c r="E76" s="119" t="str">
        <f>IF(Datasheet!E76="*","!","")</f>
        <v/>
      </c>
      <c r="F76" s="25" t="str">
        <f ca="1">IF(CELL("type",Datasheet!F76)="v",FIXED(Datasheet!F76,K76,TRUE),T(Datasheet!F76))</f>
        <v/>
      </c>
      <c r="G76" s="25" t="str">
        <f ca="1">IF(CELL("type",Datasheet!G76)="v",FIXED(Datasheet!G76,K76,TRUE),T(Datasheet!G76))</f>
        <v>N/A</v>
      </c>
      <c r="H76" s="25" t="str">
        <f>"±"&amp;FIXED(Datasheet!L76,K76)&amp;" "&amp;D76</f>
        <v>±0.003 A</v>
      </c>
      <c r="I76" s="25" t="str">
        <f>N76&amp;" "&amp;D76</f>
        <v>0.00060 A</v>
      </c>
      <c r="J76" s="122" t="str">
        <f>IF(O76&lt;4,O76,"")</f>
        <v/>
      </c>
      <c r="K76" s="25">
        <v>3</v>
      </c>
      <c r="L76" s="25">
        <f>Datasheet!L76</f>
        <v>3.0000000000000001E-3</v>
      </c>
      <c r="M76" s="115">
        <v>5.9699999999999998E-4</v>
      </c>
      <c r="N76" s="25" t="str">
        <f t="shared" si="22"/>
        <v>0.00060</v>
      </c>
      <c r="O76" s="122">
        <f t="shared" si="23"/>
        <v>5.0000000000000009</v>
      </c>
      <c r="P76" s="29"/>
    </row>
    <row r="77" spans="1:16" ht="15" customHeight="1" x14ac:dyDescent="0.25">
      <c r="A77" s="23"/>
      <c r="B77" s="120" t="str">
        <f>T(Datasheet!B77)</f>
        <v/>
      </c>
      <c r="C77" s="121"/>
      <c r="D77" s="120"/>
      <c r="E77" s="119"/>
      <c r="F77" s="25"/>
      <c r="G77" s="25"/>
      <c r="H77" s="25" t="str">
        <f>T(Datasheet!H77)</f>
        <v/>
      </c>
      <c r="I77" s="25"/>
      <c r="J77" s="25"/>
      <c r="K77" s="25"/>
      <c r="L77" s="25"/>
      <c r="N77" s="25"/>
      <c r="O77" s="25"/>
      <c r="P77" s="25"/>
    </row>
    <row r="78" spans="1:16" ht="15" customHeight="1" x14ac:dyDescent="0.25">
      <c r="A78" s="23"/>
      <c r="B78" s="219" t="str">
        <f>T(Datasheet!B78)</f>
        <v>AC Current Tests @ 60Hz</v>
      </c>
      <c r="C78" s="219"/>
      <c r="D78" s="219"/>
      <c r="E78" s="119"/>
      <c r="F78" s="25"/>
      <c r="G78" s="25"/>
      <c r="H78" s="25" t="str">
        <f>T(Datasheet!H78)</f>
        <v>± 1.0% of RDG + 2D</v>
      </c>
      <c r="I78" s="25"/>
      <c r="J78" s="25"/>
      <c r="K78" s="25"/>
      <c r="L78" s="25"/>
      <c r="N78" s="25"/>
      <c r="O78" s="25"/>
      <c r="P78" s="25"/>
    </row>
    <row r="79" spans="1:16" ht="15" customHeight="1" x14ac:dyDescent="0.25">
      <c r="A79" s="29"/>
      <c r="B79" s="120" t="str">
        <f>T(Datasheet!B79)</f>
        <v>1 A</v>
      </c>
      <c r="C79" s="121">
        <f>Datasheet!C79</f>
        <v>0.1</v>
      </c>
      <c r="D79" s="120" t="str">
        <f>(Datasheet!D79)</f>
        <v>A</v>
      </c>
      <c r="E79" s="119" t="str">
        <f>IF(Datasheet!E79="*","!","")</f>
        <v/>
      </c>
      <c r="F79" s="25" t="str">
        <f ca="1">IF(CELL("type",Datasheet!F79)="v",FIXED(Datasheet!F79,K79,TRUE),T(Datasheet!F79))</f>
        <v/>
      </c>
      <c r="G79" s="25" t="str">
        <f ca="1">IF(CELL("type",Datasheet!G79)="v",FIXED(Datasheet!G79,K79,TRUE),T(Datasheet!G79))</f>
        <v>N/A</v>
      </c>
      <c r="H79" s="25" t="str">
        <f>"±"&amp;FIXED(Datasheet!L79,K79)&amp;" "&amp;D79</f>
        <v>±0.003 A</v>
      </c>
      <c r="I79" s="25" t="str">
        <f>N79&amp;" "&amp;D79</f>
        <v>0.00058 A</v>
      </c>
      <c r="J79" s="122" t="str">
        <f>IF(O79&lt;4,O79,"")</f>
        <v/>
      </c>
      <c r="K79" s="25">
        <v>3</v>
      </c>
      <c r="L79" s="25">
        <f>Datasheet!L79</f>
        <v>3.0000000000000001E-3</v>
      </c>
      <c r="M79" s="115">
        <v>5.7899999999999998E-4</v>
      </c>
      <c r="N79" s="25" t="str">
        <f t="shared" ref="N79:N80" si="24">FIXED(M79,2-(1+INT(LOG10(ABS(M79)))),TRUE)</f>
        <v>0.00058</v>
      </c>
      <c r="O79" s="122">
        <f t="shared" ref="O79:O80" si="25">L79/N79</f>
        <v>5.1724137931034484</v>
      </c>
      <c r="P79" s="29"/>
    </row>
    <row r="80" spans="1:16" ht="15" customHeight="1" x14ac:dyDescent="0.25">
      <c r="A80" s="29"/>
      <c r="B80" s="120" t="str">
        <f>T(Datasheet!B80)</f>
        <v/>
      </c>
      <c r="C80" s="121">
        <f>Datasheet!C80</f>
        <v>0.4</v>
      </c>
      <c r="D80" s="120" t="str">
        <f>(Datasheet!D80)</f>
        <v>A</v>
      </c>
      <c r="E80" s="119" t="str">
        <f>IF(Datasheet!E80="*","!","")</f>
        <v/>
      </c>
      <c r="F80" s="25" t="str">
        <f ca="1">IF(CELL("type",Datasheet!F80)="v",FIXED(Datasheet!F80,K80,TRUE),T(Datasheet!F80))</f>
        <v/>
      </c>
      <c r="G80" s="25" t="str">
        <f ca="1">IF(CELL("type",Datasheet!G80)="v",FIXED(Datasheet!G80,K80,TRUE),T(Datasheet!G80))</f>
        <v>N/A</v>
      </c>
      <c r="H80" s="25" t="str">
        <f>"±"&amp;FIXED(Datasheet!L80,K80)&amp;" "&amp;D80</f>
        <v>±0.006 A</v>
      </c>
      <c r="I80" s="25" t="str">
        <f>N80&amp;" "&amp;D80</f>
        <v>0.00062 A</v>
      </c>
      <c r="J80" s="122" t="str">
        <f>IF(O80&lt;4,O80,"")</f>
        <v/>
      </c>
      <c r="K80" s="25">
        <v>3</v>
      </c>
      <c r="L80" s="25">
        <f>Datasheet!L80</f>
        <v>6.0000000000000001E-3</v>
      </c>
      <c r="M80" s="115">
        <v>6.2200000000000005E-4</v>
      </c>
      <c r="N80" s="25" t="str">
        <f t="shared" si="24"/>
        <v>0.00062</v>
      </c>
      <c r="O80" s="122">
        <f t="shared" si="25"/>
        <v>9.67741935483871</v>
      </c>
      <c r="P80" s="29"/>
    </row>
    <row r="81" spans="1:16" ht="15" customHeight="1" x14ac:dyDescent="0.25">
      <c r="A81" s="23"/>
      <c r="B81" s="120" t="str">
        <f>T(Datasheet!B81)</f>
        <v/>
      </c>
      <c r="C81" s="121"/>
      <c r="D81" s="120"/>
      <c r="E81" s="119"/>
      <c r="F81" s="25"/>
      <c r="G81" s="25"/>
      <c r="H81" s="25" t="str">
        <f>T(Datasheet!H81)</f>
        <v/>
      </c>
      <c r="I81" s="25"/>
      <c r="J81" s="25"/>
      <c r="K81" s="25"/>
      <c r="L81" s="25"/>
      <c r="N81" s="25"/>
      <c r="O81" s="25"/>
      <c r="P81" s="25"/>
    </row>
    <row r="82" spans="1:16" ht="15" customHeight="1" x14ac:dyDescent="0.25">
      <c r="A82" s="23"/>
      <c r="B82" s="219" t="str">
        <f>T(Datasheet!B82)</f>
        <v>Current Source Tests</v>
      </c>
      <c r="C82" s="219"/>
      <c r="D82" s="219"/>
      <c r="E82" s="119"/>
      <c r="F82" s="25"/>
      <c r="G82" s="25"/>
      <c r="H82" s="25" t="str">
        <f>T(Datasheet!H82)</f>
        <v>± 0.05% of SPAN</v>
      </c>
      <c r="I82" s="25"/>
      <c r="J82" s="25"/>
      <c r="K82" s="25"/>
      <c r="L82" s="25"/>
      <c r="N82" s="25"/>
      <c r="O82" s="25"/>
      <c r="P82" s="25"/>
    </row>
    <row r="83" spans="1:16" ht="15" customHeight="1" x14ac:dyDescent="0.25">
      <c r="A83" s="29"/>
      <c r="B83" s="120" t="str">
        <f>T(Datasheet!B83)</f>
        <v/>
      </c>
      <c r="C83" s="121">
        <f>Datasheet!C83</f>
        <v>4</v>
      </c>
      <c r="D83" s="120" t="str">
        <f>(Datasheet!D83)</f>
        <v>mA</v>
      </c>
      <c r="E83" s="119" t="str">
        <f>IF(Datasheet!E83="*","!","")</f>
        <v/>
      </c>
      <c r="F83" s="25" t="str">
        <f ca="1">IF(CELL("type",Datasheet!F83)="v",FIXED(Datasheet!F83,K83,TRUE),T(Datasheet!F83))</f>
        <v/>
      </c>
      <c r="G83" s="25" t="str">
        <f ca="1">IF(CELL("type",Datasheet!G83)="v",FIXED(Datasheet!G83,K83,TRUE),T(Datasheet!G83))</f>
        <v>N/A</v>
      </c>
      <c r="H83" s="25" t="str">
        <f>"±"&amp;FIXED(Datasheet!L83,K83)&amp;" "&amp;D83</f>
        <v>±0.0100 mA</v>
      </c>
      <c r="I83" s="25" t="str">
        <f>N83&amp;" "&amp;D83</f>
        <v>0.00058 mA</v>
      </c>
      <c r="J83" s="122" t="str">
        <f>IF(O83&lt;4,O83,"")</f>
        <v/>
      </c>
      <c r="K83" s="25">
        <v>4</v>
      </c>
      <c r="L83" s="25">
        <f>Datasheet!L83</f>
        <v>0.01</v>
      </c>
      <c r="M83" s="115">
        <v>5.8399999999999999E-4</v>
      </c>
      <c r="N83" s="25" t="str">
        <f t="shared" ref="N83:N85" si="26">FIXED(M83,2-(1+INT(LOG10(ABS(M83)))),TRUE)</f>
        <v>0.00058</v>
      </c>
      <c r="O83" s="122">
        <f t="shared" ref="O83:O85" si="27">L83/N83</f>
        <v>17.241379310344829</v>
      </c>
      <c r="P83" s="29"/>
    </row>
    <row r="84" spans="1:16" ht="15" customHeight="1" x14ac:dyDescent="0.25">
      <c r="A84" s="29"/>
      <c r="B84" s="120" t="str">
        <f>T(Datasheet!B84)</f>
        <v/>
      </c>
      <c r="C84" s="121">
        <f>Datasheet!C84</f>
        <v>12</v>
      </c>
      <c r="D84" s="120" t="str">
        <f>(Datasheet!D84)</f>
        <v>mA</v>
      </c>
      <c r="E84" s="119" t="str">
        <f>IF(Datasheet!E84="*","!","")</f>
        <v/>
      </c>
      <c r="F84" s="25" t="str">
        <f ca="1">IF(CELL("type",Datasheet!F84)="v",FIXED(Datasheet!F84,K84,TRUE),T(Datasheet!F84))</f>
        <v/>
      </c>
      <c r="G84" s="25" t="str">
        <f ca="1">IF(CELL("type",Datasheet!G84)="v",FIXED(Datasheet!G84,K84,TRUE),T(Datasheet!G84))</f>
        <v>N/A</v>
      </c>
      <c r="H84" s="25" t="str">
        <f>"±"&amp;FIXED(Datasheet!L84,K84)&amp;" "&amp;D84</f>
        <v>±0.0100 mA</v>
      </c>
      <c r="I84" s="25" t="str">
        <f t="shared" ref="I84:I85" si="28">N84&amp;" "&amp;D84</f>
        <v>0.00084 mA</v>
      </c>
      <c r="J84" s="122" t="str">
        <f t="shared" ref="J84:J85" si="29">IF(O84&lt;4,O84,"")</f>
        <v/>
      </c>
      <c r="K84" s="25">
        <v>4</v>
      </c>
      <c r="L84" s="25">
        <f>Datasheet!L84</f>
        <v>0.01</v>
      </c>
      <c r="M84" s="115">
        <v>8.4200000000000008E-4</v>
      </c>
      <c r="N84" s="25" t="str">
        <f t="shared" si="26"/>
        <v>0.00084</v>
      </c>
      <c r="O84" s="122">
        <f t="shared" si="27"/>
        <v>11.904761904761905</v>
      </c>
      <c r="P84" s="29"/>
    </row>
    <row r="85" spans="1:16" ht="15" customHeight="1" x14ac:dyDescent="0.25">
      <c r="A85" s="29"/>
      <c r="B85" s="120" t="str">
        <f>T(Datasheet!B85)</f>
        <v/>
      </c>
      <c r="C85" s="121">
        <f>Datasheet!C85</f>
        <v>20</v>
      </c>
      <c r="D85" s="120" t="str">
        <f>(Datasheet!D85)</f>
        <v>mA</v>
      </c>
      <c r="E85" s="119" t="str">
        <f>IF(Datasheet!E85="*","!","")</f>
        <v/>
      </c>
      <c r="F85" s="25" t="str">
        <f ca="1">IF(CELL("type",Datasheet!F85)="v",FIXED(Datasheet!F85,K85,TRUE),T(Datasheet!F85))</f>
        <v/>
      </c>
      <c r="G85" s="25" t="str">
        <f ca="1">IF(CELL("type",Datasheet!G85)="v",FIXED(Datasheet!G85,K85,TRUE),T(Datasheet!G85))</f>
        <v>N/A</v>
      </c>
      <c r="H85" s="25" t="str">
        <f>"±"&amp;FIXED(Datasheet!L85,K85)&amp;" "&amp;D85</f>
        <v>±0.0100 mA</v>
      </c>
      <c r="I85" s="25" t="str">
        <f t="shared" si="28"/>
        <v>0.00099 mA</v>
      </c>
      <c r="J85" s="122" t="str">
        <f t="shared" si="29"/>
        <v/>
      </c>
      <c r="K85" s="25">
        <v>4</v>
      </c>
      <c r="L85" s="25">
        <f>Datasheet!L85</f>
        <v>0.01</v>
      </c>
      <c r="M85" s="115">
        <v>9.8700000000000003E-4</v>
      </c>
      <c r="N85" s="25" t="str">
        <f t="shared" si="26"/>
        <v>0.00099</v>
      </c>
      <c r="O85" s="122">
        <f t="shared" si="27"/>
        <v>10.101010101010102</v>
      </c>
      <c r="P85" s="29"/>
    </row>
    <row r="86" spans="1:16" ht="15" customHeight="1" x14ac:dyDescent="0.25">
      <c r="A86" s="23"/>
      <c r="B86" s="120" t="str">
        <f>T(Datasheet!B86)</f>
        <v/>
      </c>
      <c r="C86" s="121"/>
      <c r="D86" s="120"/>
      <c r="E86" s="119"/>
      <c r="F86" s="25"/>
      <c r="G86" s="25"/>
      <c r="H86" s="25" t="str">
        <f>T(Datasheet!H86)</f>
        <v/>
      </c>
      <c r="I86" s="25"/>
      <c r="J86" s="25"/>
      <c r="K86" s="25"/>
      <c r="L86" s="25"/>
      <c r="M86" s="25"/>
      <c r="N86" s="25"/>
      <c r="O86" s="25"/>
    </row>
    <row r="87" spans="1:16" ht="15" customHeight="1" x14ac:dyDescent="0.25">
      <c r="A87" s="23"/>
      <c r="B87" s="219" t="str">
        <f>T(Datasheet!B87)</f>
        <v>Loop Power Tests</v>
      </c>
      <c r="C87" s="219"/>
      <c r="D87" s="219"/>
      <c r="E87" s="119"/>
      <c r="F87" s="25"/>
      <c r="G87" s="25"/>
      <c r="H87" s="25" t="str">
        <f>T(Datasheet!H87)</f>
        <v/>
      </c>
      <c r="I87" s="25"/>
      <c r="J87" s="25"/>
      <c r="K87" s="25"/>
      <c r="L87" s="25"/>
      <c r="M87" s="25"/>
      <c r="N87" s="25"/>
      <c r="O87" s="25"/>
    </row>
    <row r="88" spans="1:16" ht="15" customHeight="1" x14ac:dyDescent="0.25">
      <c r="A88" s="23"/>
      <c r="B88" s="218" t="str">
        <f>T(Datasheet!B88)</f>
        <v>Open Circuit Voltage</v>
      </c>
      <c r="C88" s="218"/>
      <c r="D88" s="218"/>
      <c r="E88" s="119" t="str">
        <f>IF(Datasheet!E88="*","!","")</f>
        <v/>
      </c>
      <c r="F88" s="25" t="str">
        <f>T(Datasheet!F88)</f>
        <v/>
      </c>
      <c r="G88" s="25" t="str">
        <f>T(Datasheet!G88)</f>
        <v>N/A</v>
      </c>
      <c r="H88" s="25" t="str">
        <f>"Pass/Fail"</f>
        <v>Pass/Fail</v>
      </c>
      <c r="I88" s="25"/>
      <c r="J88" s="25"/>
      <c r="K88" s="25"/>
      <c r="L88" s="25"/>
      <c r="M88" s="25"/>
      <c r="N88" s="25"/>
      <c r="O88" s="28"/>
    </row>
    <row r="89" spans="1:16" ht="15" customHeight="1" x14ac:dyDescent="0.25">
      <c r="A89" s="23"/>
      <c r="B89" s="218" t="str">
        <f>T(Datasheet!B89)</f>
        <v>250 ohm HART Resistor</v>
      </c>
      <c r="C89" s="218"/>
      <c r="D89" s="218"/>
      <c r="E89" s="119" t="str">
        <f>IF(Datasheet!E89="*","!","")</f>
        <v/>
      </c>
      <c r="F89" s="25" t="str">
        <f>T(Datasheet!F89)</f>
        <v/>
      </c>
      <c r="G89" s="25" t="str">
        <f>T(Datasheet!G89)</f>
        <v>N/A</v>
      </c>
      <c r="H89" s="25" t="str">
        <f>"Pass/Fail"</f>
        <v>Pass/Fail</v>
      </c>
      <c r="I89" s="25"/>
      <c r="J89" s="25"/>
      <c r="K89" s="25"/>
      <c r="L89" s="25"/>
      <c r="M89" s="25"/>
      <c r="N89" s="25"/>
      <c r="O89" s="28"/>
    </row>
    <row r="90" spans="1:16" ht="15" customHeight="1" x14ac:dyDescent="0.25">
      <c r="A90" s="23"/>
      <c r="B90" s="218" t="str">
        <f>T(Datasheet!B90)</f>
        <v>1 kohm Shunt Resistor</v>
      </c>
      <c r="C90" s="218"/>
      <c r="D90" s="218"/>
      <c r="E90" s="119" t="str">
        <f>IF(Datasheet!E90="*","!","")</f>
        <v/>
      </c>
      <c r="F90" s="25" t="str">
        <f>T(Datasheet!F90)</f>
        <v/>
      </c>
      <c r="G90" s="25" t="str">
        <f>T(Datasheet!G90)</f>
        <v>N/A</v>
      </c>
      <c r="H90" s="25" t="str">
        <f>"Pass/Fail"</f>
        <v>Pass/Fail</v>
      </c>
      <c r="I90" s="25"/>
      <c r="J90" s="25"/>
      <c r="K90" s="25"/>
      <c r="L90" s="25"/>
      <c r="M90" s="25"/>
      <c r="N90" s="25"/>
      <c r="O90" s="28"/>
    </row>
    <row r="91" spans="1:16" ht="15" customHeight="1" x14ac:dyDescent="0.25">
      <c r="A91" s="23"/>
      <c r="B91" s="218" t="str">
        <f>T(Datasheet!B91)</f>
        <v>Current Source</v>
      </c>
      <c r="C91" s="218"/>
      <c r="D91" s="218"/>
      <c r="E91" s="119" t="str">
        <f>IF(Datasheet!E91="*","!","")</f>
        <v/>
      </c>
      <c r="F91" s="25" t="str">
        <f>T(Datasheet!F91)</f>
        <v/>
      </c>
      <c r="G91" s="25" t="str">
        <f>T(Datasheet!G91)</f>
        <v>N/A</v>
      </c>
      <c r="H91" s="25" t="str">
        <f>"Pass/Fail"</f>
        <v>Pass/Fail</v>
      </c>
      <c r="I91" s="25"/>
      <c r="J91" s="25"/>
      <c r="K91" s="25"/>
      <c r="L91" s="25"/>
      <c r="M91" s="25"/>
      <c r="N91" s="25"/>
      <c r="O91" s="28"/>
    </row>
    <row r="92" spans="1:16" ht="15" customHeight="1" x14ac:dyDescent="0.25">
      <c r="A92" s="23"/>
      <c r="B92" s="123" t="s">
        <v>59</v>
      </c>
      <c r="C92" s="124"/>
      <c r="D92" s="120"/>
      <c r="E92" s="119"/>
      <c r="F92" s="125"/>
      <c r="G92" s="125"/>
      <c r="H92" s="125"/>
      <c r="I92" s="25"/>
      <c r="J92" s="122"/>
      <c r="K92" s="25"/>
      <c r="L92" s="25"/>
      <c r="M92" s="25"/>
      <c r="N92" s="25"/>
      <c r="O92" s="28"/>
    </row>
  </sheetData>
  <mergeCells count="27">
    <mergeCell ref="B3:J3"/>
    <mergeCell ref="B1:D1"/>
    <mergeCell ref="E1:G1"/>
    <mergeCell ref="H1:J1"/>
    <mergeCell ref="B2:D2"/>
    <mergeCell ref="E2:J2"/>
    <mergeCell ref="B65:D65"/>
    <mergeCell ref="B4:D4"/>
    <mergeCell ref="E4:G4"/>
    <mergeCell ref="H4:J4"/>
    <mergeCell ref="B5:D5"/>
    <mergeCell ref="F5:G5"/>
    <mergeCell ref="B8:D8"/>
    <mergeCell ref="B12:D12"/>
    <mergeCell ref="B26:D26"/>
    <mergeCell ref="B31:D31"/>
    <mergeCell ref="B40:D40"/>
    <mergeCell ref="B44:D44"/>
    <mergeCell ref="B89:D89"/>
    <mergeCell ref="B90:D90"/>
    <mergeCell ref="B91:D91"/>
    <mergeCell ref="B69:D69"/>
    <mergeCell ref="B74:D74"/>
    <mergeCell ref="B78:D78"/>
    <mergeCell ref="B82:D82"/>
    <mergeCell ref="B87:D87"/>
    <mergeCell ref="B88:D88"/>
  </mergeCells>
  <conditionalFormatting sqref="O13:O14 O16:O24 O27:O29 O32:O39 O41:O42 O45:O46 O48:O54 O59:O60">
    <cfRule type="cellIs" dxfId="38" priority="31" operator="greaterThanOrEqual">
      <formula>4</formula>
    </cfRule>
    <cfRule type="cellIs" dxfId="37" priority="32" operator="between">
      <formula>3</formula>
      <formula>4</formula>
    </cfRule>
    <cfRule type="cellIs" dxfId="36" priority="33" operator="between">
      <formula>2</formula>
      <formula>3</formula>
    </cfRule>
    <cfRule type="cellIs" dxfId="35" priority="34" operator="between">
      <formula>1</formula>
      <formula>2</formula>
    </cfRule>
    <cfRule type="cellIs" dxfId="34" priority="35" operator="lessThan">
      <formula>1</formula>
    </cfRule>
  </conditionalFormatting>
  <conditionalFormatting sqref="O56:O57">
    <cfRule type="cellIs" dxfId="33" priority="1" operator="greaterThanOrEqual">
      <formula>4</formula>
    </cfRule>
    <cfRule type="cellIs" dxfId="32" priority="2" operator="between">
      <formula>3</formula>
      <formula>4</formula>
    </cfRule>
    <cfRule type="cellIs" dxfId="31" priority="3" operator="between">
      <formula>2</formula>
      <formula>3</formula>
    </cfRule>
    <cfRule type="cellIs" dxfId="30" priority="4" operator="between">
      <formula>1</formula>
      <formula>2</formula>
    </cfRule>
    <cfRule type="cellIs" dxfId="29" priority="5" operator="lessThan">
      <formula>1</formula>
    </cfRule>
  </conditionalFormatting>
  <conditionalFormatting sqref="O66">
    <cfRule type="cellIs" dxfId="28" priority="26" operator="greaterThanOrEqual">
      <formula>4</formula>
    </cfRule>
    <cfRule type="cellIs" dxfId="27" priority="27" operator="between">
      <formula>3</formula>
      <formula>4</formula>
    </cfRule>
    <cfRule type="cellIs" dxfId="26" priority="28" operator="between">
      <formula>2</formula>
      <formula>3</formula>
    </cfRule>
    <cfRule type="cellIs" dxfId="25" priority="29" operator="between">
      <formula>1</formula>
      <formula>2</formula>
    </cfRule>
    <cfRule type="cellIs" dxfId="24" priority="30" operator="lessThan">
      <formula>1</formula>
    </cfRule>
  </conditionalFormatting>
  <conditionalFormatting sqref="O70:O72">
    <cfRule type="cellIs" dxfId="23" priority="21" operator="greaterThanOrEqual">
      <formula>4</formula>
    </cfRule>
    <cfRule type="cellIs" dxfId="22" priority="22" operator="between">
      <formula>3</formula>
      <formula>4</formula>
    </cfRule>
    <cfRule type="cellIs" dxfId="21" priority="23" operator="between">
      <formula>2</formula>
      <formula>3</formula>
    </cfRule>
    <cfRule type="cellIs" dxfId="20" priority="24" operator="between">
      <formula>1</formula>
      <formula>2</formula>
    </cfRule>
    <cfRule type="cellIs" dxfId="19" priority="25" operator="lessThan">
      <formula>1</formula>
    </cfRule>
  </conditionalFormatting>
  <conditionalFormatting sqref="O75:O76">
    <cfRule type="cellIs" dxfId="18" priority="16" operator="greaterThanOrEqual">
      <formula>4</formula>
    </cfRule>
    <cfRule type="cellIs" dxfId="17" priority="17" operator="between">
      <formula>3</formula>
      <formula>4</formula>
    </cfRule>
    <cfRule type="cellIs" dxfId="16" priority="18" operator="between">
      <formula>2</formula>
      <formula>3</formula>
    </cfRule>
    <cfRule type="cellIs" dxfId="15" priority="19" operator="between">
      <formula>1</formula>
      <formula>2</formula>
    </cfRule>
    <cfRule type="cellIs" dxfId="14" priority="20" operator="lessThan">
      <formula>1</formula>
    </cfRule>
  </conditionalFormatting>
  <conditionalFormatting sqref="O79:O80">
    <cfRule type="cellIs" dxfId="13" priority="11" operator="greaterThanOrEqual">
      <formula>4</formula>
    </cfRule>
    <cfRule type="cellIs" dxfId="12" priority="12" operator="between">
      <formula>3</formula>
      <formula>4</formula>
    </cfRule>
    <cfRule type="cellIs" dxfId="11" priority="13" operator="between">
      <formula>2</formula>
      <formula>3</formula>
    </cfRule>
    <cfRule type="cellIs" dxfId="10" priority="14" operator="between">
      <formula>1</formula>
      <formula>2</formula>
    </cfRule>
    <cfRule type="cellIs" dxfId="9" priority="15" operator="lessThan">
      <formula>1</formula>
    </cfRule>
  </conditionalFormatting>
  <conditionalFormatting sqref="O83:O85">
    <cfRule type="cellIs" dxfId="8" priority="6" operator="greaterThanOrEqual">
      <formula>4</formula>
    </cfRule>
    <cfRule type="cellIs" dxfId="7" priority="7" operator="between">
      <formula>3</formula>
      <formula>4</formula>
    </cfRule>
    <cfRule type="cellIs" dxfId="6" priority="8" operator="between">
      <formula>2</formula>
      <formula>3</formula>
    </cfRule>
    <cfRule type="cellIs" dxfId="5" priority="9" operator="between">
      <formula>1</formula>
      <formula>2</formula>
    </cfRule>
    <cfRule type="cellIs" dxfId="4" priority="10" operator="lessThan">
      <formula>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10250C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B25C-48CF-4D1D-9C62-184E6ACE9889}">
  <sheetPr codeName="Sheet5"/>
  <dimension ref="B3:D15"/>
  <sheetViews>
    <sheetView workbookViewId="0">
      <selection activeCell="J21" sqref="J21"/>
    </sheetView>
  </sheetViews>
  <sheetFormatPr defaultRowHeight="15" x14ac:dyDescent="0.25"/>
  <sheetData>
    <row r="3" spans="2:4" x14ac:dyDescent="0.25">
      <c r="D3" t="s">
        <v>111</v>
      </c>
    </row>
    <row r="6" spans="2:4" x14ac:dyDescent="0.25">
      <c r="D6" t="s">
        <v>28</v>
      </c>
    </row>
    <row r="7" spans="2:4" x14ac:dyDescent="0.25">
      <c r="D7" t="s">
        <v>29</v>
      </c>
    </row>
    <row r="8" spans="2:4" x14ac:dyDescent="0.25">
      <c r="D8" t="s">
        <v>30</v>
      </c>
    </row>
    <row r="10" spans="2:4" x14ac:dyDescent="0.25">
      <c r="D10" t="s">
        <v>107</v>
      </c>
    </row>
    <row r="11" spans="2:4" x14ac:dyDescent="0.25">
      <c r="D11" t="s">
        <v>108</v>
      </c>
    </row>
    <row r="12" spans="2:4" x14ac:dyDescent="0.25">
      <c r="D12" t="s">
        <v>109</v>
      </c>
    </row>
    <row r="14" spans="2:4" x14ac:dyDescent="0.25">
      <c r="D14" t="s">
        <v>110</v>
      </c>
    </row>
    <row r="15" spans="2:4" x14ac:dyDescent="0.25">
      <c r="B15" s="19" t="s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AF3B8-B1C4-45B5-B106-3D9DD900C30A}">
  <sheetPr codeName="Sheet8"/>
  <dimension ref="B1:L1673"/>
  <sheetViews>
    <sheetView workbookViewId="0">
      <pane ySplit="6" topLeftCell="A7" activePane="bottomLeft" state="frozen"/>
      <selection pane="bottomLeft" activeCell="B8" sqref="B8"/>
    </sheetView>
  </sheetViews>
  <sheetFormatPr defaultRowHeight="15" x14ac:dyDescent="0.25"/>
  <cols>
    <col min="2" max="2" width="13.42578125" style="3" customWidth="1"/>
    <col min="3" max="3" width="112" style="7" customWidth="1"/>
    <col min="4" max="10" width="11" customWidth="1"/>
    <col min="11" max="12" width="12" customWidth="1"/>
  </cols>
  <sheetData>
    <row r="1" spans="2:12" ht="15" customHeight="1" x14ac:dyDescent="0.25">
      <c r="B1" s="227" t="s">
        <v>0</v>
      </c>
      <c r="C1" s="228"/>
      <c r="E1" s="1"/>
      <c r="F1" s="1"/>
      <c r="G1" s="1"/>
      <c r="H1" s="1"/>
      <c r="I1" s="1"/>
      <c r="J1" s="1"/>
      <c r="K1" s="1"/>
      <c r="L1" s="1"/>
    </row>
    <row r="2" spans="2:12" ht="15" customHeight="1" x14ac:dyDescent="0.25">
      <c r="B2" s="229"/>
      <c r="C2" s="230"/>
      <c r="E2" s="1"/>
      <c r="F2" s="1"/>
      <c r="G2" s="1"/>
      <c r="H2" s="1"/>
      <c r="I2" s="1"/>
      <c r="J2" s="1"/>
      <c r="K2" s="1"/>
      <c r="L2" s="1"/>
    </row>
    <row r="3" spans="2:12" ht="15" customHeight="1" x14ac:dyDescent="0.25">
      <c r="B3" s="231"/>
      <c r="C3" s="232"/>
      <c r="E3" s="1"/>
      <c r="F3" s="1"/>
      <c r="G3" s="1"/>
      <c r="H3" s="1"/>
      <c r="I3" s="1"/>
      <c r="J3" s="1"/>
      <c r="K3" s="1"/>
      <c r="L3" s="1"/>
    </row>
    <row r="5" spans="2:12" x14ac:dyDescent="0.25">
      <c r="C5" s="4"/>
    </row>
    <row r="6" spans="2:12" x14ac:dyDescent="0.25">
      <c r="B6" s="3" t="s">
        <v>1</v>
      </c>
      <c r="C6" s="5" t="s">
        <v>2</v>
      </c>
    </row>
    <row r="7" spans="2:12" x14ac:dyDescent="0.25">
      <c r="B7" s="6">
        <v>45924</v>
      </c>
      <c r="C7" s="5" t="s">
        <v>182</v>
      </c>
    </row>
    <row r="8" spans="2:12" x14ac:dyDescent="0.25">
      <c r="B8" s="6">
        <v>45924</v>
      </c>
      <c r="C8" s="5" t="s">
        <v>181</v>
      </c>
    </row>
    <row r="9" spans="2:12" x14ac:dyDescent="0.25">
      <c r="B9" s="6">
        <v>45924</v>
      </c>
      <c r="C9" s="5" t="s">
        <v>179</v>
      </c>
    </row>
    <row r="10" spans="2:12" ht="30" x14ac:dyDescent="0.25">
      <c r="B10" s="6">
        <v>45924</v>
      </c>
      <c r="C10" s="5" t="s">
        <v>178</v>
      </c>
    </row>
    <row r="11" spans="2:12" x14ac:dyDescent="0.25">
      <c r="B11" s="6">
        <v>45916</v>
      </c>
      <c r="C11" s="5" t="s">
        <v>177</v>
      </c>
    </row>
    <row r="12" spans="2:12" x14ac:dyDescent="0.25">
      <c r="B12" s="6">
        <v>45915</v>
      </c>
      <c r="C12" s="5" t="s">
        <v>112</v>
      </c>
    </row>
    <row r="13" spans="2:12" x14ac:dyDescent="0.25">
      <c r="B13" s="6">
        <v>45915</v>
      </c>
      <c r="C13" s="5" t="s">
        <v>174</v>
      </c>
    </row>
    <row r="14" spans="2:12" x14ac:dyDescent="0.25">
      <c r="B14" s="6">
        <v>45915</v>
      </c>
      <c r="C14" s="5" t="s">
        <v>175</v>
      </c>
    </row>
    <row r="15" spans="2:12" s="2" customFormat="1" x14ac:dyDescent="0.25">
      <c r="B15" s="6"/>
      <c r="C15" s="7"/>
      <c r="D15"/>
      <c r="E15"/>
      <c r="F15"/>
      <c r="G15"/>
      <c r="H15"/>
      <c r="I15"/>
      <c r="J15"/>
      <c r="K15"/>
      <c r="L15"/>
    </row>
    <row r="16" spans="2:12" s="2" customFormat="1" x14ac:dyDescent="0.25">
      <c r="B16" s="6"/>
      <c r="C16" s="7"/>
      <c r="D16"/>
      <c r="E16"/>
      <c r="F16"/>
      <c r="G16"/>
      <c r="H16"/>
      <c r="I16"/>
      <c r="J16"/>
      <c r="K16"/>
      <c r="L16"/>
    </row>
    <row r="17" spans="2:12" s="2" customFormat="1" x14ac:dyDescent="0.25">
      <c r="B17" s="6"/>
      <c r="C17" s="7"/>
      <c r="D17"/>
      <c r="E17"/>
      <c r="F17"/>
      <c r="G17"/>
      <c r="H17"/>
      <c r="I17"/>
      <c r="J17"/>
      <c r="K17"/>
      <c r="L17"/>
    </row>
    <row r="18" spans="2:12" s="2" customFormat="1" x14ac:dyDescent="0.25">
      <c r="B18" s="6"/>
      <c r="C18" s="7"/>
      <c r="D18"/>
      <c r="E18"/>
      <c r="F18"/>
      <c r="G18"/>
      <c r="H18"/>
      <c r="I18"/>
      <c r="J18"/>
      <c r="K18"/>
      <c r="L18"/>
    </row>
    <row r="19" spans="2:12" s="2" customFormat="1" x14ac:dyDescent="0.25">
      <c r="B19" s="6"/>
      <c r="C19" s="7"/>
      <c r="D19"/>
      <c r="E19"/>
      <c r="F19"/>
      <c r="G19"/>
      <c r="H19"/>
      <c r="I19"/>
      <c r="J19"/>
      <c r="K19"/>
      <c r="L19"/>
    </row>
    <row r="20" spans="2:12" s="2" customFormat="1" x14ac:dyDescent="0.25">
      <c r="B20" s="6"/>
      <c r="C20" s="7"/>
      <c r="D20"/>
      <c r="E20"/>
      <c r="F20"/>
      <c r="G20"/>
      <c r="H20"/>
      <c r="I20"/>
      <c r="J20"/>
      <c r="K20"/>
      <c r="L20"/>
    </row>
    <row r="21" spans="2:12" s="2" customFormat="1" x14ac:dyDescent="0.25">
      <c r="B21" s="6"/>
      <c r="C21" s="7"/>
      <c r="D21"/>
      <c r="E21"/>
      <c r="F21"/>
      <c r="G21"/>
      <c r="H21"/>
      <c r="I21"/>
      <c r="J21"/>
      <c r="K21"/>
      <c r="L21"/>
    </row>
    <row r="22" spans="2:12" s="2" customFormat="1" x14ac:dyDescent="0.25">
      <c r="B22" s="6"/>
      <c r="C22" s="7"/>
      <c r="D22"/>
      <c r="E22"/>
      <c r="F22"/>
      <c r="G22"/>
      <c r="H22"/>
      <c r="I22"/>
      <c r="J22"/>
      <c r="K22"/>
      <c r="L22"/>
    </row>
    <row r="23" spans="2:12" s="2" customFormat="1" x14ac:dyDescent="0.25">
      <c r="B23" s="6"/>
      <c r="C23" s="7"/>
      <c r="D23"/>
      <c r="E23"/>
      <c r="F23"/>
      <c r="G23"/>
      <c r="H23"/>
      <c r="I23"/>
      <c r="J23"/>
      <c r="K23"/>
      <c r="L23"/>
    </row>
    <row r="24" spans="2:12" s="2" customFormat="1" x14ac:dyDescent="0.25">
      <c r="B24" s="6"/>
      <c r="C24" s="7"/>
      <c r="D24"/>
      <c r="E24"/>
      <c r="F24"/>
      <c r="G24"/>
      <c r="H24"/>
      <c r="I24"/>
      <c r="J24"/>
      <c r="K24"/>
      <c r="L24"/>
    </row>
    <row r="25" spans="2:12" s="2" customFormat="1" x14ac:dyDescent="0.25">
      <c r="B25" s="6"/>
      <c r="C25" s="7"/>
      <c r="D25"/>
      <c r="E25"/>
      <c r="F25"/>
      <c r="G25"/>
      <c r="H25"/>
      <c r="I25"/>
      <c r="J25"/>
      <c r="K25"/>
      <c r="L25"/>
    </row>
    <row r="26" spans="2:12" s="2" customFormat="1" x14ac:dyDescent="0.25">
      <c r="B26" s="6"/>
      <c r="C26" s="7"/>
      <c r="D26"/>
      <c r="E26"/>
      <c r="F26"/>
      <c r="G26"/>
      <c r="H26"/>
      <c r="I26"/>
      <c r="J26"/>
      <c r="K26"/>
      <c r="L26"/>
    </row>
    <row r="27" spans="2:12" s="2" customFormat="1" x14ac:dyDescent="0.25">
      <c r="B27" s="6"/>
      <c r="C27" s="7"/>
      <c r="D27"/>
      <c r="E27"/>
      <c r="F27"/>
      <c r="G27"/>
      <c r="H27"/>
      <c r="I27"/>
      <c r="J27"/>
      <c r="K27"/>
      <c r="L27"/>
    </row>
    <row r="28" spans="2:12" s="2" customFormat="1" x14ac:dyDescent="0.25">
      <c r="B28" s="6"/>
      <c r="C28" s="7"/>
      <c r="D28"/>
      <c r="E28"/>
      <c r="F28"/>
      <c r="G28"/>
      <c r="H28"/>
      <c r="I28"/>
      <c r="J28"/>
      <c r="K28"/>
      <c r="L28"/>
    </row>
    <row r="29" spans="2:12" s="2" customFormat="1" x14ac:dyDescent="0.25">
      <c r="B29" s="6"/>
      <c r="C29" s="7"/>
      <c r="D29"/>
      <c r="E29"/>
      <c r="F29"/>
      <c r="G29"/>
      <c r="H29"/>
      <c r="I29"/>
      <c r="J29"/>
      <c r="K29"/>
      <c r="L29"/>
    </row>
    <row r="30" spans="2:12" s="2" customFormat="1" x14ac:dyDescent="0.25">
      <c r="B30" s="6"/>
      <c r="C30" s="7"/>
      <c r="D30"/>
      <c r="E30"/>
      <c r="F30"/>
      <c r="G30"/>
      <c r="H30"/>
      <c r="I30"/>
      <c r="J30"/>
      <c r="K30"/>
      <c r="L30"/>
    </row>
    <row r="31" spans="2:12" s="2" customFormat="1" x14ac:dyDescent="0.25">
      <c r="B31" s="6"/>
      <c r="C31" s="7"/>
      <c r="D31"/>
      <c r="E31"/>
      <c r="F31"/>
      <c r="G31"/>
      <c r="H31"/>
      <c r="I31"/>
      <c r="J31"/>
      <c r="K31"/>
      <c r="L31"/>
    </row>
    <row r="32" spans="2:12" s="2" customFormat="1" x14ac:dyDescent="0.25">
      <c r="B32" s="6"/>
      <c r="C32" s="7"/>
      <c r="D32"/>
      <c r="E32"/>
      <c r="F32"/>
      <c r="G32"/>
      <c r="H32"/>
      <c r="I32"/>
      <c r="J32"/>
      <c r="K32"/>
      <c r="L32"/>
    </row>
    <row r="33" spans="2:12" s="2" customFormat="1" x14ac:dyDescent="0.25">
      <c r="B33" s="6"/>
      <c r="C33" s="7"/>
      <c r="D33"/>
      <c r="E33"/>
      <c r="F33"/>
      <c r="G33"/>
      <c r="H33"/>
      <c r="I33"/>
      <c r="J33"/>
      <c r="K33"/>
      <c r="L33"/>
    </row>
    <row r="34" spans="2:12" s="2" customFormat="1" x14ac:dyDescent="0.25">
      <c r="B34" s="6"/>
      <c r="C34" s="7"/>
      <c r="D34"/>
      <c r="E34"/>
      <c r="F34"/>
      <c r="G34"/>
      <c r="H34"/>
      <c r="I34"/>
      <c r="J34"/>
      <c r="K34"/>
      <c r="L34"/>
    </row>
    <row r="35" spans="2:12" s="2" customFormat="1" x14ac:dyDescent="0.25">
      <c r="B35" s="6"/>
      <c r="C35" s="7"/>
      <c r="D35"/>
      <c r="E35"/>
      <c r="F35"/>
      <c r="G35"/>
      <c r="H35"/>
      <c r="I35"/>
      <c r="J35"/>
      <c r="K35"/>
      <c r="L35"/>
    </row>
    <row r="36" spans="2:12" s="2" customFormat="1" x14ac:dyDescent="0.25">
      <c r="B36" s="6"/>
      <c r="C36" s="7"/>
      <c r="D36"/>
      <c r="E36"/>
      <c r="F36"/>
      <c r="G36"/>
      <c r="H36"/>
      <c r="I36"/>
      <c r="J36"/>
      <c r="K36"/>
      <c r="L36"/>
    </row>
    <row r="37" spans="2:12" s="2" customFormat="1" x14ac:dyDescent="0.25">
      <c r="B37" s="6"/>
      <c r="C37" s="7"/>
      <c r="D37"/>
      <c r="E37"/>
      <c r="F37"/>
      <c r="G37"/>
      <c r="H37"/>
      <c r="I37"/>
      <c r="J37"/>
      <c r="K37"/>
      <c r="L37"/>
    </row>
    <row r="38" spans="2:12" s="2" customFormat="1" x14ac:dyDescent="0.25">
      <c r="B38" s="6"/>
      <c r="C38" s="7"/>
      <c r="D38"/>
      <c r="E38"/>
      <c r="F38"/>
      <c r="G38"/>
      <c r="H38"/>
      <c r="I38"/>
      <c r="J38"/>
      <c r="K38"/>
      <c r="L38"/>
    </row>
    <row r="39" spans="2:12" s="2" customFormat="1" x14ac:dyDescent="0.25">
      <c r="B39" s="6"/>
      <c r="C39" s="7"/>
      <c r="D39"/>
      <c r="E39"/>
      <c r="F39"/>
      <c r="G39"/>
      <c r="H39"/>
      <c r="I39"/>
      <c r="J39"/>
      <c r="K39"/>
      <c r="L39"/>
    </row>
    <row r="40" spans="2:12" s="2" customFormat="1" x14ac:dyDescent="0.25">
      <c r="B40" s="6"/>
      <c r="C40" s="7"/>
      <c r="D40"/>
      <c r="E40"/>
      <c r="F40"/>
      <c r="G40"/>
      <c r="H40"/>
      <c r="I40"/>
      <c r="J40"/>
      <c r="K40"/>
      <c r="L40"/>
    </row>
    <row r="41" spans="2:12" s="2" customFormat="1" x14ac:dyDescent="0.25">
      <c r="B41" s="6"/>
      <c r="C41" s="7"/>
      <c r="D41"/>
      <c r="E41"/>
      <c r="F41"/>
      <c r="G41"/>
      <c r="H41"/>
      <c r="I41"/>
      <c r="J41"/>
      <c r="K41"/>
      <c r="L41"/>
    </row>
    <row r="42" spans="2:12" s="2" customFormat="1" x14ac:dyDescent="0.25">
      <c r="B42" s="6"/>
      <c r="C42" s="7"/>
      <c r="D42"/>
      <c r="E42"/>
      <c r="F42"/>
      <c r="G42"/>
      <c r="H42"/>
      <c r="I42"/>
      <c r="J42"/>
      <c r="K42"/>
      <c r="L42"/>
    </row>
    <row r="43" spans="2:12" s="2" customFormat="1" x14ac:dyDescent="0.25">
      <c r="B43" s="6"/>
      <c r="C43" s="7"/>
      <c r="D43"/>
      <c r="E43"/>
      <c r="F43"/>
      <c r="G43"/>
      <c r="H43"/>
      <c r="I43"/>
      <c r="J43"/>
      <c r="K43"/>
      <c r="L43"/>
    </row>
    <row r="44" spans="2:12" s="2" customFormat="1" x14ac:dyDescent="0.25">
      <c r="B44" s="6"/>
      <c r="C44" s="7"/>
      <c r="D44"/>
      <c r="E44"/>
      <c r="F44"/>
      <c r="G44"/>
      <c r="H44"/>
      <c r="I44"/>
      <c r="J44"/>
      <c r="K44"/>
      <c r="L44"/>
    </row>
    <row r="45" spans="2:12" s="2" customFormat="1" x14ac:dyDescent="0.25">
      <c r="B45" s="6"/>
      <c r="C45" s="7"/>
      <c r="D45"/>
      <c r="E45"/>
      <c r="F45"/>
      <c r="G45"/>
      <c r="H45"/>
      <c r="I45"/>
      <c r="J45"/>
      <c r="K45"/>
      <c r="L45"/>
    </row>
    <row r="46" spans="2:12" s="2" customFormat="1" x14ac:dyDescent="0.25">
      <c r="B46" s="6"/>
      <c r="C46" s="7"/>
      <c r="D46"/>
      <c r="E46"/>
      <c r="F46"/>
      <c r="G46"/>
      <c r="H46"/>
      <c r="I46"/>
      <c r="J46"/>
      <c r="K46"/>
      <c r="L46"/>
    </row>
    <row r="47" spans="2:12" s="2" customFormat="1" x14ac:dyDescent="0.25">
      <c r="B47" s="6"/>
      <c r="C47" s="7"/>
      <c r="D47"/>
      <c r="E47"/>
      <c r="F47"/>
      <c r="G47"/>
      <c r="H47"/>
      <c r="I47"/>
      <c r="J47"/>
      <c r="K47"/>
      <c r="L47"/>
    </row>
    <row r="48" spans="2:12" s="2" customFormat="1" x14ac:dyDescent="0.25">
      <c r="B48" s="6"/>
      <c r="C48" s="7"/>
      <c r="D48"/>
      <c r="E48"/>
      <c r="F48"/>
      <c r="G48"/>
      <c r="H48"/>
      <c r="I48"/>
      <c r="J48"/>
      <c r="K48"/>
      <c r="L48"/>
    </row>
    <row r="49" spans="2:12" s="2" customFormat="1" x14ac:dyDescent="0.25">
      <c r="B49" s="6"/>
      <c r="C49" s="7"/>
      <c r="D49"/>
      <c r="E49"/>
      <c r="F49"/>
      <c r="G49"/>
      <c r="H49"/>
      <c r="I49"/>
      <c r="J49"/>
      <c r="K49"/>
      <c r="L49"/>
    </row>
    <row r="50" spans="2:12" s="2" customFormat="1" x14ac:dyDescent="0.25">
      <c r="B50" s="6"/>
      <c r="C50" s="7"/>
      <c r="D50"/>
      <c r="E50"/>
      <c r="F50"/>
      <c r="G50"/>
      <c r="H50"/>
      <c r="I50"/>
      <c r="J50"/>
      <c r="K50"/>
      <c r="L50"/>
    </row>
    <row r="51" spans="2:12" s="2" customFormat="1" x14ac:dyDescent="0.25">
      <c r="B51" s="6"/>
      <c r="C51" s="7"/>
      <c r="D51"/>
      <c r="E51"/>
      <c r="F51"/>
      <c r="G51"/>
      <c r="H51"/>
      <c r="I51"/>
      <c r="J51"/>
      <c r="K51"/>
      <c r="L51"/>
    </row>
    <row r="52" spans="2:12" s="2" customFormat="1" x14ac:dyDescent="0.25">
      <c r="B52" s="6"/>
      <c r="C52" s="7"/>
      <c r="D52"/>
      <c r="E52"/>
      <c r="F52"/>
      <c r="G52"/>
      <c r="H52"/>
      <c r="I52"/>
      <c r="J52"/>
      <c r="K52"/>
      <c r="L52"/>
    </row>
    <row r="53" spans="2:12" s="2" customFormat="1" x14ac:dyDescent="0.25">
      <c r="B53" s="6"/>
      <c r="C53" s="7"/>
      <c r="D53"/>
      <c r="E53"/>
      <c r="F53"/>
      <c r="G53"/>
      <c r="H53"/>
      <c r="I53"/>
      <c r="J53"/>
      <c r="K53"/>
      <c r="L53"/>
    </row>
    <row r="54" spans="2:12" s="2" customFormat="1" x14ac:dyDescent="0.25">
      <c r="B54" s="6"/>
      <c r="C54" s="7"/>
      <c r="D54"/>
      <c r="E54"/>
      <c r="F54"/>
      <c r="G54"/>
      <c r="H54"/>
      <c r="I54"/>
      <c r="J54"/>
      <c r="K54"/>
      <c r="L54"/>
    </row>
    <row r="55" spans="2:12" s="2" customFormat="1" x14ac:dyDescent="0.25">
      <c r="B55" s="6"/>
      <c r="C55" s="7"/>
      <c r="D55"/>
      <c r="E55"/>
      <c r="F55"/>
      <c r="G55"/>
      <c r="H55"/>
      <c r="I55"/>
      <c r="J55"/>
      <c r="K55"/>
      <c r="L55"/>
    </row>
    <row r="56" spans="2:12" s="2" customFormat="1" x14ac:dyDescent="0.25">
      <c r="B56" s="6"/>
      <c r="C56" s="7"/>
      <c r="D56"/>
      <c r="E56"/>
      <c r="F56"/>
      <c r="G56"/>
      <c r="H56"/>
      <c r="I56"/>
      <c r="J56"/>
      <c r="K56"/>
      <c r="L56"/>
    </row>
    <row r="57" spans="2:12" s="2" customFormat="1" x14ac:dyDescent="0.25">
      <c r="B57" s="6"/>
      <c r="C57" s="7"/>
      <c r="D57"/>
      <c r="E57"/>
      <c r="F57"/>
      <c r="G57"/>
      <c r="H57"/>
      <c r="I57"/>
      <c r="J57"/>
      <c r="K57"/>
      <c r="L57"/>
    </row>
    <row r="58" spans="2:12" s="2" customFormat="1" x14ac:dyDescent="0.25">
      <c r="B58" s="6"/>
      <c r="C58" s="7"/>
      <c r="D58"/>
      <c r="E58"/>
      <c r="F58"/>
      <c r="G58"/>
      <c r="H58"/>
      <c r="I58"/>
      <c r="J58"/>
      <c r="K58"/>
      <c r="L58"/>
    </row>
    <row r="59" spans="2:12" s="2" customFormat="1" x14ac:dyDescent="0.25">
      <c r="B59" s="6"/>
      <c r="C59" s="7"/>
      <c r="D59"/>
      <c r="E59"/>
      <c r="F59"/>
      <c r="G59"/>
      <c r="H59"/>
      <c r="I59"/>
      <c r="J59"/>
      <c r="K59"/>
      <c r="L59"/>
    </row>
    <row r="60" spans="2:12" s="2" customFormat="1" x14ac:dyDescent="0.25">
      <c r="B60" s="6"/>
      <c r="C60" s="7"/>
      <c r="D60"/>
      <c r="E60"/>
      <c r="F60"/>
      <c r="G60"/>
      <c r="H60"/>
      <c r="I60"/>
      <c r="J60"/>
      <c r="K60"/>
      <c r="L60"/>
    </row>
    <row r="61" spans="2:12" s="2" customFormat="1" x14ac:dyDescent="0.25">
      <c r="B61" s="6"/>
      <c r="C61" s="7"/>
      <c r="D61"/>
      <c r="E61"/>
      <c r="F61"/>
      <c r="G61"/>
      <c r="H61"/>
      <c r="I61"/>
      <c r="J61"/>
      <c r="K61"/>
      <c r="L61"/>
    </row>
    <row r="62" spans="2:12" s="2" customFormat="1" x14ac:dyDescent="0.25">
      <c r="B62" s="6"/>
      <c r="C62" s="7"/>
      <c r="D62"/>
      <c r="E62"/>
      <c r="F62"/>
      <c r="G62"/>
      <c r="H62"/>
      <c r="I62"/>
      <c r="J62"/>
      <c r="K62"/>
      <c r="L62"/>
    </row>
    <row r="63" spans="2:12" s="2" customFormat="1" x14ac:dyDescent="0.25">
      <c r="B63" s="6"/>
      <c r="C63" s="7"/>
      <c r="D63"/>
      <c r="E63"/>
      <c r="F63"/>
      <c r="G63"/>
      <c r="H63"/>
      <c r="I63"/>
      <c r="J63"/>
      <c r="K63"/>
      <c r="L63"/>
    </row>
    <row r="64" spans="2:12" s="2" customFormat="1" x14ac:dyDescent="0.25">
      <c r="B64" s="6"/>
      <c r="C64" s="7"/>
      <c r="D64"/>
      <c r="E64"/>
      <c r="F64"/>
      <c r="G64"/>
      <c r="H64"/>
      <c r="I64"/>
      <c r="J64"/>
      <c r="K64"/>
      <c r="L64"/>
    </row>
    <row r="65" spans="2:12" s="2" customFormat="1" x14ac:dyDescent="0.25">
      <c r="B65" s="6"/>
      <c r="C65" s="7"/>
      <c r="D65"/>
      <c r="E65"/>
      <c r="F65"/>
      <c r="G65"/>
      <c r="H65"/>
      <c r="I65"/>
      <c r="J65"/>
      <c r="K65"/>
      <c r="L65"/>
    </row>
    <row r="66" spans="2:12" s="2" customFormat="1" x14ac:dyDescent="0.25">
      <c r="B66" s="6"/>
      <c r="C66" s="7"/>
      <c r="D66"/>
      <c r="E66"/>
      <c r="F66"/>
      <c r="G66"/>
      <c r="H66"/>
      <c r="I66"/>
      <c r="J66"/>
      <c r="K66"/>
      <c r="L66"/>
    </row>
    <row r="67" spans="2:12" s="2" customFormat="1" x14ac:dyDescent="0.25">
      <c r="B67" s="6"/>
      <c r="C67" s="7"/>
      <c r="D67"/>
      <c r="E67"/>
      <c r="F67"/>
      <c r="G67"/>
      <c r="H67"/>
      <c r="I67"/>
      <c r="J67"/>
      <c r="K67"/>
      <c r="L67"/>
    </row>
    <row r="68" spans="2:12" s="2" customFormat="1" x14ac:dyDescent="0.25">
      <c r="B68" s="6"/>
      <c r="C68" s="7"/>
      <c r="D68"/>
      <c r="E68"/>
      <c r="F68"/>
      <c r="G68"/>
      <c r="H68"/>
      <c r="I68"/>
      <c r="J68"/>
      <c r="K68"/>
      <c r="L68"/>
    </row>
    <row r="69" spans="2:12" s="2" customFormat="1" x14ac:dyDescent="0.25">
      <c r="B69" s="6"/>
      <c r="C69" s="7"/>
      <c r="D69"/>
      <c r="E69"/>
      <c r="F69"/>
      <c r="G69"/>
      <c r="H69"/>
      <c r="I69"/>
      <c r="J69"/>
      <c r="K69"/>
      <c r="L69"/>
    </row>
    <row r="70" spans="2:12" s="2" customFormat="1" x14ac:dyDescent="0.25">
      <c r="B70" s="6"/>
      <c r="C70" s="7"/>
      <c r="D70"/>
      <c r="E70"/>
      <c r="F70"/>
      <c r="G70"/>
      <c r="H70"/>
      <c r="I70"/>
      <c r="J70"/>
      <c r="K70"/>
      <c r="L70"/>
    </row>
    <row r="71" spans="2:12" s="2" customFormat="1" x14ac:dyDescent="0.25">
      <c r="B71" s="6"/>
      <c r="C71" s="7"/>
      <c r="D71"/>
      <c r="E71"/>
      <c r="F71"/>
      <c r="G71"/>
      <c r="H71"/>
      <c r="I71"/>
      <c r="J71"/>
      <c r="K71"/>
      <c r="L71"/>
    </row>
    <row r="72" spans="2:12" s="2" customFormat="1" x14ac:dyDescent="0.25">
      <c r="B72" s="6"/>
      <c r="C72" s="7"/>
      <c r="D72"/>
      <c r="E72"/>
      <c r="F72"/>
      <c r="G72"/>
      <c r="H72"/>
      <c r="I72"/>
      <c r="J72"/>
      <c r="K72"/>
      <c r="L72"/>
    </row>
    <row r="73" spans="2:12" s="2" customFormat="1" x14ac:dyDescent="0.25">
      <c r="B73" s="6"/>
      <c r="C73" s="7"/>
      <c r="D73"/>
      <c r="E73"/>
      <c r="F73"/>
      <c r="G73"/>
      <c r="H73"/>
      <c r="I73"/>
      <c r="J73"/>
      <c r="K73"/>
      <c r="L73"/>
    </row>
    <row r="74" spans="2:12" s="2" customFormat="1" x14ac:dyDescent="0.25">
      <c r="B74" s="6"/>
      <c r="C74" s="7"/>
      <c r="D74"/>
      <c r="E74"/>
      <c r="F74"/>
      <c r="G74"/>
      <c r="H74"/>
      <c r="I74"/>
      <c r="J74"/>
      <c r="K74"/>
      <c r="L74"/>
    </row>
    <row r="75" spans="2:12" s="2" customFormat="1" x14ac:dyDescent="0.25">
      <c r="B75" s="6"/>
      <c r="C75" s="7"/>
      <c r="D75"/>
      <c r="E75"/>
      <c r="F75"/>
      <c r="G75"/>
      <c r="H75"/>
      <c r="I75"/>
      <c r="J75"/>
      <c r="K75"/>
      <c r="L75"/>
    </row>
    <row r="76" spans="2:12" s="2" customFormat="1" x14ac:dyDescent="0.25">
      <c r="B76" s="6"/>
      <c r="C76" s="7"/>
      <c r="D76"/>
      <c r="E76"/>
      <c r="F76"/>
      <c r="G76"/>
      <c r="H76"/>
      <c r="I76"/>
      <c r="J76"/>
      <c r="K76"/>
      <c r="L76"/>
    </row>
    <row r="77" spans="2:12" s="2" customFormat="1" x14ac:dyDescent="0.25">
      <c r="B77" s="6"/>
      <c r="C77" s="7"/>
      <c r="D77"/>
      <c r="E77"/>
      <c r="F77"/>
      <c r="G77"/>
      <c r="H77"/>
      <c r="I77"/>
      <c r="J77"/>
      <c r="K77"/>
      <c r="L77"/>
    </row>
    <row r="78" spans="2:12" s="2" customFormat="1" x14ac:dyDescent="0.25">
      <c r="B78" s="6"/>
      <c r="C78" s="7"/>
      <c r="D78"/>
      <c r="E78"/>
      <c r="F78"/>
      <c r="G78"/>
      <c r="H78"/>
      <c r="I78"/>
      <c r="J78"/>
      <c r="K78"/>
      <c r="L78"/>
    </row>
    <row r="79" spans="2:12" s="2" customFormat="1" x14ac:dyDescent="0.25">
      <c r="B79" s="6"/>
      <c r="C79" s="7"/>
      <c r="D79"/>
      <c r="E79"/>
      <c r="F79"/>
      <c r="G79"/>
      <c r="H79"/>
      <c r="I79"/>
      <c r="J79"/>
      <c r="K79"/>
      <c r="L79"/>
    </row>
    <row r="80" spans="2:12" s="2" customFormat="1" x14ac:dyDescent="0.25">
      <c r="B80" s="6"/>
      <c r="C80" s="7"/>
      <c r="D80"/>
      <c r="E80"/>
      <c r="F80"/>
      <c r="G80"/>
      <c r="H80"/>
      <c r="I80"/>
      <c r="J80"/>
      <c r="K80"/>
      <c r="L80"/>
    </row>
    <row r="81" spans="2:12" s="2" customFormat="1" x14ac:dyDescent="0.25">
      <c r="B81" s="6"/>
      <c r="C81" s="7"/>
      <c r="D81"/>
      <c r="E81"/>
      <c r="F81"/>
      <c r="G81"/>
      <c r="H81"/>
      <c r="I81"/>
      <c r="J81"/>
      <c r="K81"/>
      <c r="L81"/>
    </row>
    <row r="82" spans="2:12" s="2" customFormat="1" x14ac:dyDescent="0.25">
      <c r="B82" s="6"/>
      <c r="C82" s="7"/>
      <c r="D82"/>
      <c r="E82"/>
      <c r="F82"/>
      <c r="G82"/>
      <c r="H82"/>
      <c r="I82"/>
      <c r="J82"/>
      <c r="K82"/>
      <c r="L82"/>
    </row>
    <row r="83" spans="2:12" s="2" customFormat="1" x14ac:dyDescent="0.25">
      <c r="B83" s="6"/>
      <c r="C83" s="7"/>
      <c r="D83"/>
      <c r="E83"/>
      <c r="F83"/>
      <c r="G83"/>
      <c r="H83"/>
      <c r="I83"/>
      <c r="J83"/>
      <c r="K83"/>
      <c r="L83"/>
    </row>
    <row r="84" spans="2:12" s="2" customFormat="1" x14ac:dyDescent="0.25">
      <c r="B84" s="6"/>
      <c r="C84" s="7"/>
      <c r="D84"/>
      <c r="E84"/>
      <c r="F84"/>
      <c r="G84"/>
      <c r="H84"/>
      <c r="I84"/>
      <c r="J84"/>
      <c r="K84"/>
      <c r="L84"/>
    </row>
    <row r="85" spans="2:12" s="2" customFormat="1" x14ac:dyDescent="0.25">
      <c r="B85" s="6"/>
      <c r="C85" s="7"/>
      <c r="D85"/>
      <c r="E85"/>
      <c r="F85"/>
      <c r="G85"/>
      <c r="H85"/>
      <c r="I85"/>
      <c r="J85"/>
      <c r="K85"/>
      <c r="L85"/>
    </row>
    <row r="86" spans="2:12" s="2" customFormat="1" x14ac:dyDescent="0.25">
      <c r="B86" s="6"/>
      <c r="C86" s="7"/>
      <c r="D86"/>
      <c r="E86"/>
      <c r="F86"/>
      <c r="G86"/>
      <c r="H86"/>
      <c r="I86"/>
      <c r="J86"/>
      <c r="K86"/>
      <c r="L86"/>
    </row>
    <row r="87" spans="2:12" s="2" customFormat="1" x14ac:dyDescent="0.25">
      <c r="B87" s="6"/>
      <c r="C87" s="7"/>
      <c r="D87"/>
      <c r="E87"/>
      <c r="F87"/>
      <c r="G87"/>
      <c r="H87"/>
      <c r="I87"/>
      <c r="J87"/>
      <c r="K87"/>
      <c r="L87"/>
    </row>
    <row r="88" spans="2:12" s="2" customFormat="1" x14ac:dyDescent="0.25">
      <c r="B88" s="6"/>
      <c r="C88" s="7"/>
      <c r="D88"/>
      <c r="E88"/>
      <c r="F88"/>
      <c r="G88"/>
      <c r="H88"/>
      <c r="I88"/>
      <c r="J88"/>
      <c r="K88"/>
      <c r="L88"/>
    </row>
    <row r="89" spans="2:12" s="2" customFormat="1" x14ac:dyDescent="0.25">
      <c r="B89" s="6"/>
      <c r="C89" s="7"/>
      <c r="D89"/>
      <c r="E89"/>
      <c r="F89"/>
      <c r="G89"/>
      <c r="H89"/>
      <c r="I89"/>
      <c r="J89"/>
      <c r="K89"/>
      <c r="L89"/>
    </row>
    <row r="90" spans="2:12" s="2" customFormat="1" x14ac:dyDescent="0.25">
      <c r="B90" s="6"/>
      <c r="C90" s="7"/>
      <c r="D90"/>
      <c r="E90"/>
      <c r="F90"/>
      <c r="G90"/>
      <c r="H90"/>
      <c r="I90"/>
      <c r="J90"/>
      <c r="K90"/>
      <c r="L90"/>
    </row>
    <row r="91" spans="2:12" s="2" customFormat="1" x14ac:dyDescent="0.25">
      <c r="B91" s="6"/>
      <c r="C91" s="7"/>
      <c r="D91"/>
      <c r="E91"/>
      <c r="F91"/>
      <c r="G91"/>
      <c r="H91"/>
      <c r="I91"/>
      <c r="J91"/>
      <c r="K91"/>
      <c r="L91"/>
    </row>
    <row r="92" spans="2:12" s="2" customFormat="1" x14ac:dyDescent="0.25">
      <c r="B92" s="6"/>
      <c r="C92" s="7"/>
      <c r="D92"/>
      <c r="E92"/>
      <c r="F92"/>
      <c r="G92"/>
      <c r="H92"/>
      <c r="I92"/>
      <c r="J92"/>
      <c r="K92"/>
      <c r="L92"/>
    </row>
    <row r="93" spans="2:12" s="2" customFormat="1" x14ac:dyDescent="0.25">
      <c r="B93" s="6"/>
      <c r="C93" s="7"/>
      <c r="D93"/>
      <c r="E93"/>
      <c r="F93"/>
      <c r="G93"/>
      <c r="H93"/>
      <c r="I93"/>
      <c r="J93"/>
      <c r="K93"/>
      <c r="L93"/>
    </row>
    <row r="94" spans="2:12" s="2" customFormat="1" x14ac:dyDescent="0.25">
      <c r="B94" s="6"/>
      <c r="C94" s="7"/>
      <c r="D94"/>
      <c r="E94"/>
      <c r="F94"/>
      <c r="G94"/>
      <c r="H94"/>
      <c r="I94"/>
      <c r="J94"/>
      <c r="K94"/>
      <c r="L94"/>
    </row>
    <row r="95" spans="2:12" s="2" customFormat="1" x14ac:dyDescent="0.25">
      <c r="B95" s="6"/>
      <c r="C95" s="7"/>
      <c r="D95"/>
      <c r="E95"/>
      <c r="F95"/>
      <c r="G95"/>
      <c r="H95"/>
      <c r="I95"/>
      <c r="J95"/>
      <c r="K95"/>
      <c r="L95"/>
    </row>
    <row r="96" spans="2:12" s="2" customFormat="1" x14ac:dyDescent="0.25">
      <c r="B96" s="6"/>
      <c r="C96" s="7"/>
      <c r="D96"/>
      <c r="E96"/>
      <c r="F96"/>
      <c r="G96"/>
      <c r="H96"/>
      <c r="I96"/>
      <c r="J96"/>
      <c r="K96"/>
      <c r="L96"/>
    </row>
    <row r="97" spans="2:12" s="2" customFormat="1" x14ac:dyDescent="0.25">
      <c r="B97" s="6"/>
      <c r="C97" s="7"/>
      <c r="D97"/>
      <c r="E97"/>
      <c r="F97"/>
      <c r="G97"/>
      <c r="H97"/>
      <c r="I97"/>
      <c r="J97"/>
      <c r="K97"/>
      <c r="L97"/>
    </row>
    <row r="98" spans="2:12" s="2" customFormat="1" x14ac:dyDescent="0.25">
      <c r="B98" s="6"/>
      <c r="C98" s="7"/>
      <c r="D98"/>
      <c r="E98"/>
      <c r="F98"/>
      <c r="G98"/>
      <c r="H98"/>
      <c r="I98"/>
      <c r="J98"/>
      <c r="K98"/>
      <c r="L98"/>
    </row>
    <row r="99" spans="2:12" s="2" customFormat="1" x14ac:dyDescent="0.25">
      <c r="B99" s="6"/>
      <c r="C99" s="7"/>
      <c r="D99"/>
      <c r="E99"/>
      <c r="F99"/>
      <c r="G99"/>
      <c r="H99"/>
      <c r="I99"/>
      <c r="J99"/>
      <c r="K99"/>
      <c r="L99"/>
    </row>
    <row r="100" spans="2:12" s="2" customFormat="1" x14ac:dyDescent="0.25">
      <c r="B100" s="6"/>
      <c r="C100" s="7"/>
      <c r="D100"/>
      <c r="E100"/>
      <c r="F100"/>
      <c r="G100"/>
      <c r="H100"/>
      <c r="I100"/>
      <c r="J100"/>
      <c r="K100"/>
      <c r="L100"/>
    </row>
    <row r="101" spans="2:12" s="2" customFormat="1" x14ac:dyDescent="0.25">
      <c r="B101" s="6"/>
      <c r="C101" s="7"/>
      <c r="D101"/>
      <c r="E101"/>
      <c r="F101"/>
      <c r="G101"/>
      <c r="H101"/>
      <c r="I101"/>
      <c r="J101"/>
      <c r="K101"/>
      <c r="L101"/>
    </row>
    <row r="102" spans="2:12" s="2" customFormat="1" x14ac:dyDescent="0.25">
      <c r="B102" s="6"/>
      <c r="C102" s="7"/>
      <c r="D102"/>
      <c r="E102"/>
      <c r="F102"/>
      <c r="G102"/>
      <c r="H102"/>
      <c r="I102"/>
      <c r="J102"/>
      <c r="K102"/>
      <c r="L102"/>
    </row>
    <row r="103" spans="2:12" s="2" customFormat="1" x14ac:dyDescent="0.25">
      <c r="B103" s="6"/>
      <c r="C103" s="7"/>
      <c r="D103"/>
      <c r="E103"/>
      <c r="F103"/>
      <c r="G103"/>
      <c r="H103"/>
      <c r="I103"/>
      <c r="J103"/>
      <c r="K103"/>
      <c r="L103"/>
    </row>
    <row r="104" spans="2:12" s="2" customFormat="1" x14ac:dyDescent="0.25">
      <c r="B104" s="6"/>
      <c r="C104" s="7"/>
      <c r="D104"/>
      <c r="E104"/>
      <c r="F104"/>
      <c r="G104"/>
      <c r="H104"/>
      <c r="I104"/>
      <c r="J104"/>
      <c r="K104"/>
      <c r="L104"/>
    </row>
    <row r="105" spans="2:12" s="2" customFormat="1" x14ac:dyDescent="0.25">
      <c r="B105" s="6"/>
      <c r="C105" s="7"/>
      <c r="D105"/>
      <c r="E105"/>
      <c r="F105"/>
      <c r="G105"/>
      <c r="H105"/>
      <c r="I105"/>
      <c r="J105"/>
      <c r="K105"/>
      <c r="L105"/>
    </row>
    <row r="106" spans="2:12" s="2" customFormat="1" x14ac:dyDescent="0.25">
      <c r="B106" s="6"/>
      <c r="C106" s="7"/>
      <c r="D106"/>
      <c r="E106"/>
      <c r="F106"/>
      <c r="G106"/>
      <c r="H106"/>
      <c r="I106"/>
      <c r="J106"/>
      <c r="K106"/>
      <c r="L106"/>
    </row>
    <row r="107" spans="2:12" s="2" customFormat="1" x14ac:dyDescent="0.25">
      <c r="B107" s="6"/>
      <c r="C107" s="7"/>
      <c r="D107"/>
      <c r="E107"/>
      <c r="F107"/>
      <c r="G107"/>
      <c r="H107"/>
      <c r="I107"/>
      <c r="J107"/>
      <c r="K107"/>
      <c r="L107"/>
    </row>
    <row r="108" spans="2:12" s="2" customFormat="1" x14ac:dyDescent="0.25">
      <c r="B108" s="6"/>
      <c r="C108" s="7"/>
      <c r="D108"/>
      <c r="E108"/>
      <c r="F108"/>
      <c r="G108"/>
      <c r="H108"/>
      <c r="I108"/>
      <c r="J108"/>
      <c r="K108"/>
      <c r="L108"/>
    </row>
    <row r="109" spans="2:12" s="2" customFormat="1" x14ac:dyDescent="0.25">
      <c r="B109" s="6"/>
      <c r="C109" s="7"/>
      <c r="D109"/>
      <c r="E109"/>
      <c r="F109"/>
      <c r="G109"/>
      <c r="H109"/>
      <c r="I109"/>
      <c r="J109"/>
      <c r="K109"/>
      <c r="L109"/>
    </row>
    <row r="110" spans="2:12" s="2" customFormat="1" x14ac:dyDescent="0.25">
      <c r="B110" s="6"/>
      <c r="C110" s="7"/>
      <c r="D110"/>
      <c r="E110"/>
      <c r="F110"/>
      <c r="G110"/>
      <c r="H110"/>
      <c r="I110"/>
      <c r="J110"/>
      <c r="K110"/>
      <c r="L110"/>
    </row>
    <row r="111" spans="2:12" s="2" customFormat="1" x14ac:dyDescent="0.25">
      <c r="B111" s="6"/>
      <c r="C111" s="7"/>
      <c r="D111"/>
      <c r="E111"/>
      <c r="F111"/>
      <c r="G111"/>
      <c r="H111"/>
      <c r="I111"/>
      <c r="J111"/>
      <c r="K111"/>
      <c r="L111"/>
    </row>
    <row r="112" spans="2:12" s="2" customFormat="1" x14ac:dyDescent="0.25">
      <c r="B112" s="6"/>
      <c r="C112" s="7"/>
      <c r="D112"/>
      <c r="E112"/>
      <c r="F112"/>
      <c r="G112"/>
      <c r="H112"/>
      <c r="I112"/>
      <c r="J112"/>
      <c r="K112"/>
      <c r="L112"/>
    </row>
    <row r="113" spans="2:12" s="2" customFormat="1" x14ac:dyDescent="0.25">
      <c r="B113" s="6"/>
      <c r="C113" s="7"/>
      <c r="D113"/>
      <c r="E113"/>
      <c r="F113"/>
      <c r="G113"/>
      <c r="H113"/>
      <c r="I113"/>
      <c r="J113"/>
      <c r="K113"/>
      <c r="L113"/>
    </row>
    <row r="114" spans="2:12" s="2" customFormat="1" x14ac:dyDescent="0.25">
      <c r="B114" s="6"/>
      <c r="C114" s="7"/>
      <c r="D114"/>
      <c r="E114"/>
      <c r="F114"/>
      <c r="G114"/>
      <c r="H114"/>
      <c r="I114"/>
      <c r="J114"/>
      <c r="K114"/>
      <c r="L114"/>
    </row>
    <row r="115" spans="2:12" s="2" customFormat="1" x14ac:dyDescent="0.25">
      <c r="B115" s="6"/>
      <c r="C115" s="7"/>
      <c r="D115"/>
      <c r="E115"/>
      <c r="F115"/>
      <c r="G115"/>
      <c r="H115"/>
      <c r="I115"/>
      <c r="J115"/>
      <c r="K115"/>
      <c r="L115"/>
    </row>
    <row r="116" spans="2:12" s="2" customFormat="1" x14ac:dyDescent="0.25">
      <c r="B116" s="6"/>
      <c r="C116" s="7"/>
      <c r="D116"/>
      <c r="E116"/>
      <c r="F116"/>
      <c r="G116"/>
      <c r="H116"/>
      <c r="I116"/>
      <c r="J116"/>
      <c r="K116"/>
      <c r="L116"/>
    </row>
    <row r="117" spans="2:12" s="2" customFormat="1" x14ac:dyDescent="0.25">
      <c r="B117" s="6"/>
      <c r="C117" s="7"/>
      <c r="D117"/>
      <c r="E117"/>
      <c r="F117"/>
      <c r="G117"/>
      <c r="H117"/>
      <c r="I117"/>
      <c r="J117"/>
      <c r="K117"/>
      <c r="L117"/>
    </row>
    <row r="118" spans="2:12" s="2" customFormat="1" x14ac:dyDescent="0.25">
      <c r="B118" s="6"/>
      <c r="C118" s="7"/>
      <c r="D118"/>
      <c r="E118"/>
      <c r="F118"/>
      <c r="G118"/>
      <c r="H118"/>
      <c r="I118"/>
      <c r="J118"/>
      <c r="K118"/>
      <c r="L118"/>
    </row>
    <row r="119" spans="2:12" s="2" customFormat="1" x14ac:dyDescent="0.25">
      <c r="B119" s="6"/>
      <c r="C119" s="7"/>
      <c r="D119"/>
      <c r="E119"/>
      <c r="F119"/>
      <c r="G119"/>
      <c r="H119"/>
      <c r="I119"/>
      <c r="J119"/>
      <c r="K119"/>
      <c r="L119"/>
    </row>
    <row r="120" spans="2:12" s="2" customFormat="1" x14ac:dyDescent="0.25">
      <c r="B120" s="6"/>
      <c r="C120" s="7"/>
      <c r="D120"/>
      <c r="E120"/>
      <c r="F120"/>
      <c r="G120"/>
      <c r="H120"/>
      <c r="I120"/>
      <c r="J120"/>
      <c r="K120"/>
      <c r="L120"/>
    </row>
    <row r="121" spans="2:12" s="2" customFormat="1" x14ac:dyDescent="0.25">
      <c r="B121" s="6"/>
      <c r="C121" s="7"/>
      <c r="D121"/>
      <c r="E121"/>
      <c r="F121"/>
      <c r="G121"/>
      <c r="H121"/>
      <c r="I121"/>
      <c r="J121"/>
      <c r="K121"/>
      <c r="L121"/>
    </row>
    <row r="122" spans="2:12" s="2" customFormat="1" x14ac:dyDescent="0.25">
      <c r="B122" s="6"/>
      <c r="C122" s="7"/>
      <c r="D122"/>
      <c r="E122"/>
      <c r="F122"/>
      <c r="G122"/>
      <c r="H122"/>
      <c r="I122"/>
      <c r="J122"/>
      <c r="K122"/>
      <c r="L122"/>
    </row>
    <row r="123" spans="2:12" s="2" customFormat="1" x14ac:dyDescent="0.25">
      <c r="B123" s="6"/>
      <c r="C123" s="7"/>
      <c r="D123"/>
      <c r="E123"/>
      <c r="F123"/>
      <c r="G123"/>
      <c r="H123"/>
      <c r="I123"/>
      <c r="J123"/>
      <c r="K123"/>
      <c r="L123"/>
    </row>
    <row r="124" spans="2:12" s="2" customFormat="1" x14ac:dyDescent="0.25">
      <c r="B124" s="6"/>
      <c r="C124" s="7"/>
      <c r="D124"/>
      <c r="E124"/>
      <c r="F124"/>
      <c r="G124"/>
      <c r="H124"/>
      <c r="I124"/>
      <c r="J124"/>
      <c r="K124"/>
      <c r="L124"/>
    </row>
    <row r="125" spans="2:12" s="2" customFormat="1" x14ac:dyDescent="0.25">
      <c r="B125" s="6"/>
      <c r="C125" s="7"/>
      <c r="D125"/>
      <c r="E125"/>
      <c r="F125"/>
      <c r="G125"/>
      <c r="H125"/>
      <c r="I125"/>
      <c r="J125"/>
      <c r="K125"/>
      <c r="L125"/>
    </row>
    <row r="126" spans="2:12" s="2" customFormat="1" x14ac:dyDescent="0.25">
      <c r="B126" s="6"/>
      <c r="C126" s="7"/>
      <c r="D126"/>
      <c r="E126"/>
      <c r="F126"/>
      <c r="G126"/>
      <c r="H126"/>
      <c r="I126"/>
      <c r="J126"/>
      <c r="K126"/>
      <c r="L126"/>
    </row>
    <row r="127" spans="2:12" s="2" customFormat="1" x14ac:dyDescent="0.25">
      <c r="B127" s="6"/>
      <c r="C127" s="7"/>
      <c r="D127"/>
      <c r="E127"/>
      <c r="F127"/>
      <c r="G127"/>
      <c r="H127"/>
      <c r="I127"/>
      <c r="J127"/>
      <c r="K127"/>
      <c r="L127"/>
    </row>
    <row r="128" spans="2:12" s="2" customFormat="1" x14ac:dyDescent="0.25">
      <c r="B128" s="6"/>
      <c r="C128" s="7"/>
      <c r="D128"/>
      <c r="E128"/>
      <c r="F128"/>
      <c r="G128"/>
      <c r="H128"/>
      <c r="I128"/>
      <c r="J128"/>
      <c r="K128"/>
      <c r="L128"/>
    </row>
    <row r="129" spans="2:12" s="2" customFormat="1" x14ac:dyDescent="0.25">
      <c r="B129" s="6"/>
      <c r="C129" s="7"/>
      <c r="D129"/>
      <c r="E129"/>
      <c r="F129"/>
      <c r="G129"/>
      <c r="H129"/>
      <c r="I129"/>
      <c r="J129"/>
      <c r="K129"/>
      <c r="L129"/>
    </row>
    <row r="130" spans="2:12" s="2" customFormat="1" x14ac:dyDescent="0.25">
      <c r="B130" s="6"/>
      <c r="C130" s="7"/>
      <c r="D130"/>
      <c r="E130"/>
      <c r="F130"/>
      <c r="G130"/>
      <c r="H130"/>
      <c r="I130"/>
      <c r="J130"/>
      <c r="K130"/>
      <c r="L130"/>
    </row>
    <row r="131" spans="2:12" s="2" customFormat="1" x14ac:dyDescent="0.25">
      <c r="B131" s="6"/>
      <c r="C131" s="7"/>
      <c r="D131"/>
      <c r="E131"/>
      <c r="F131"/>
      <c r="G131"/>
      <c r="H131"/>
      <c r="I131"/>
      <c r="J131"/>
      <c r="K131"/>
      <c r="L131"/>
    </row>
    <row r="132" spans="2:12" s="2" customFormat="1" x14ac:dyDescent="0.25">
      <c r="B132" s="6"/>
      <c r="C132" s="7"/>
      <c r="D132"/>
      <c r="E132"/>
      <c r="F132"/>
      <c r="G132"/>
      <c r="H132"/>
      <c r="I132"/>
      <c r="J132"/>
      <c r="K132"/>
      <c r="L132"/>
    </row>
    <row r="133" spans="2:12" s="2" customFormat="1" x14ac:dyDescent="0.25">
      <c r="B133" s="6"/>
      <c r="C133" s="7"/>
      <c r="D133"/>
      <c r="E133"/>
      <c r="F133"/>
      <c r="G133"/>
      <c r="H133"/>
      <c r="I133"/>
      <c r="J133"/>
      <c r="K133"/>
      <c r="L133"/>
    </row>
    <row r="134" spans="2:12" s="2" customFormat="1" x14ac:dyDescent="0.25">
      <c r="B134" s="6"/>
      <c r="C134" s="7"/>
      <c r="D134"/>
      <c r="E134"/>
      <c r="F134"/>
      <c r="G134"/>
      <c r="H134"/>
      <c r="I134"/>
      <c r="J134"/>
      <c r="K134"/>
      <c r="L134"/>
    </row>
    <row r="135" spans="2:12" s="2" customFormat="1" x14ac:dyDescent="0.25">
      <c r="B135" s="6"/>
      <c r="C135" s="7"/>
      <c r="D135"/>
      <c r="E135"/>
      <c r="F135"/>
      <c r="G135"/>
      <c r="H135"/>
      <c r="I135"/>
      <c r="J135"/>
      <c r="K135"/>
      <c r="L135"/>
    </row>
    <row r="136" spans="2:12" s="2" customFormat="1" x14ac:dyDescent="0.25">
      <c r="B136" s="6"/>
      <c r="C136" s="7"/>
      <c r="D136"/>
      <c r="E136"/>
      <c r="F136"/>
      <c r="G136"/>
      <c r="H136"/>
      <c r="I136"/>
      <c r="J136"/>
      <c r="K136"/>
      <c r="L136"/>
    </row>
    <row r="137" spans="2:12" s="2" customFormat="1" x14ac:dyDescent="0.25">
      <c r="B137" s="6"/>
      <c r="C137" s="7"/>
      <c r="D137"/>
      <c r="E137"/>
      <c r="F137"/>
      <c r="G137"/>
      <c r="H137"/>
      <c r="I137"/>
      <c r="J137"/>
      <c r="K137"/>
      <c r="L137"/>
    </row>
    <row r="138" spans="2:12" s="2" customFormat="1" x14ac:dyDescent="0.25">
      <c r="B138" s="6"/>
      <c r="C138" s="7"/>
      <c r="D138"/>
      <c r="E138"/>
      <c r="F138"/>
      <c r="G138"/>
      <c r="H138"/>
      <c r="I138"/>
      <c r="J138"/>
      <c r="K138"/>
      <c r="L138"/>
    </row>
    <row r="139" spans="2:12" s="2" customFormat="1" x14ac:dyDescent="0.25">
      <c r="B139" s="6"/>
      <c r="C139" s="7"/>
      <c r="D139"/>
      <c r="E139"/>
      <c r="F139"/>
      <c r="G139"/>
      <c r="H139"/>
      <c r="I139"/>
      <c r="J139"/>
      <c r="K139"/>
      <c r="L139"/>
    </row>
    <row r="140" spans="2:12" s="2" customFormat="1" x14ac:dyDescent="0.25">
      <c r="B140" s="6"/>
      <c r="C140" s="7"/>
      <c r="D140"/>
      <c r="E140"/>
      <c r="F140"/>
      <c r="G140"/>
      <c r="H140"/>
      <c r="I140"/>
      <c r="J140"/>
      <c r="K140"/>
      <c r="L140"/>
    </row>
    <row r="141" spans="2:12" s="2" customFormat="1" x14ac:dyDescent="0.25">
      <c r="B141" s="6"/>
      <c r="C141" s="7"/>
      <c r="D141"/>
      <c r="E141"/>
      <c r="F141"/>
      <c r="G141"/>
      <c r="H141"/>
      <c r="I141"/>
      <c r="J141"/>
      <c r="K141"/>
      <c r="L141"/>
    </row>
    <row r="142" spans="2:12" s="2" customFormat="1" x14ac:dyDescent="0.25">
      <c r="B142" s="6"/>
      <c r="C142" s="7"/>
      <c r="D142"/>
      <c r="E142"/>
      <c r="F142"/>
      <c r="G142"/>
      <c r="H142"/>
      <c r="I142"/>
      <c r="J142"/>
      <c r="K142"/>
      <c r="L142"/>
    </row>
    <row r="143" spans="2:12" s="2" customFormat="1" x14ac:dyDescent="0.25">
      <c r="B143" s="6"/>
      <c r="C143" s="7"/>
      <c r="D143"/>
      <c r="E143"/>
      <c r="F143"/>
      <c r="G143"/>
      <c r="H143"/>
      <c r="I143"/>
      <c r="J143"/>
      <c r="K143"/>
      <c r="L143"/>
    </row>
    <row r="144" spans="2:12" s="2" customFormat="1" x14ac:dyDescent="0.25">
      <c r="B144" s="6"/>
      <c r="C144" s="7"/>
      <c r="D144"/>
      <c r="E144"/>
      <c r="F144"/>
      <c r="G144"/>
      <c r="H144"/>
      <c r="I144"/>
      <c r="J144"/>
      <c r="K144"/>
      <c r="L144"/>
    </row>
    <row r="145" spans="2:12" s="2" customFormat="1" x14ac:dyDescent="0.25">
      <c r="B145" s="6"/>
      <c r="C145" s="7"/>
      <c r="D145"/>
      <c r="E145"/>
      <c r="F145"/>
      <c r="G145"/>
      <c r="H145"/>
      <c r="I145"/>
      <c r="J145"/>
      <c r="K145"/>
      <c r="L145"/>
    </row>
    <row r="146" spans="2:12" s="2" customFormat="1" x14ac:dyDescent="0.25">
      <c r="B146" s="6"/>
      <c r="C146" s="7"/>
      <c r="D146"/>
      <c r="E146"/>
      <c r="F146"/>
      <c r="G146"/>
      <c r="H146"/>
      <c r="I146"/>
      <c r="J146"/>
      <c r="K146"/>
      <c r="L146"/>
    </row>
    <row r="147" spans="2:12" s="2" customFormat="1" x14ac:dyDescent="0.25">
      <c r="B147" s="6"/>
      <c r="C147" s="7"/>
      <c r="D147"/>
      <c r="E147"/>
      <c r="F147"/>
      <c r="G147"/>
      <c r="H147"/>
      <c r="I147"/>
      <c r="J147"/>
      <c r="K147"/>
      <c r="L147"/>
    </row>
    <row r="148" spans="2:12" s="2" customFormat="1" x14ac:dyDescent="0.25">
      <c r="B148" s="6"/>
      <c r="C148" s="7"/>
      <c r="D148"/>
      <c r="E148"/>
      <c r="F148"/>
      <c r="G148"/>
      <c r="H148"/>
      <c r="I148"/>
      <c r="J148"/>
      <c r="K148"/>
      <c r="L148"/>
    </row>
    <row r="149" spans="2:12" s="2" customFormat="1" x14ac:dyDescent="0.25">
      <c r="B149" s="6"/>
      <c r="C149" s="7"/>
      <c r="D149"/>
      <c r="E149"/>
      <c r="F149"/>
      <c r="G149"/>
      <c r="H149"/>
      <c r="I149"/>
      <c r="J149"/>
      <c r="K149"/>
      <c r="L149"/>
    </row>
    <row r="150" spans="2:12" s="2" customFormat="1" x14ac:dyDescent="0.25">
      <c r="B150" s="6"/>
      <c r="C150" s="7"/>
      <c r="D150"/>
      <c r="E150"/>
      <c r="F150"/>
      <c r="G150"/>
      <c r="H150"/>
      <c r="I150"/>
      <c r="J150"/>
      <c r="K150"/>
      <c r="L150"/>
    </row>
    <row r="151" spans="2:12" s="2" customFormat="1" x14ac:dyDescent="0.25">
      <c r="B151" s="6"/>
      <c r="C151" s="7"/>
      <c r="D151"/>
      <c r="E151"/>
      <c r="F151"/>
      <c r="G151"/>
      <c r="H151"/>
      <c r="I151"/>
      <c r="J151"/>
      <c r="K151"/>
      <c r="L151"/>
    </row>
    <row r="152" spans="2:12" s="2" customFormat="1" x14ac:dyDescent="0.25">
      <c r="B152" s="6"/>
      <c r="C152" s="7"/>
      <c r="D152"/>
      <c r="E152"/>
      <c r="F152"/>
      <c r="G152"/>
      <c r="H152"/>
      <c r="I152"/>
      <c r="J152"/>
      <c r="K152"/>
      <c r="L152"/>
    </row>
    <row r="153" spans="2:12" s="2" customFormat="1" x14ac:dyDescent="0.25">
      <c r="B153" s="6"/>
      <c r="C153" s="7"/>
      <c r="D153"/>
      <c r="E153"/>
      <c r="F153"/>
      <c r="G153"/>
      <c r="H153"/>
      <c r="I153"/>
      <c r="J153"/>
      <c r="K153"/>
      <c r="L153"/>
    </row>
    <row r="154" spans="2:12" s="2" customFormat="1" x14ac:dyDescent="0.25">
      <c r="B154" s="6"/>
      <c r="C154" s="7"/>
      <c r="D154"/>
      <c r="E154"/>
      <c r="F154"/>
      <c r="G154"/>
      <c r="H154"/>
      <c r="I154"/>
      <c r="J154"/>
      <c r="K154"/>
      <c r="L154"/>
    </row>
    <row r="155" spans="2:12" s="2" customFormat="1" x14ac:dyDescent="0.25">
      <c r="B155" s="6"/>
      <c r="C155" s="7"/>
      <c r="D155"/>
      <c r="E155"/>
      <c r="F155"/>
      <c r="G155"/>
      <c r="H155"/>
      <c r="I155"/>
      <c r="J155"/>
      <c r="K155"/>
      <c r="L155"/>
    </row>
    <row r="156" spans="2:12" s="2" customFormat="1" x14ac:dyDescent="0.25">
      <c r="B156" s="6"/>
      <c r="C156" s="7"/>
      <c r="D156"/>
      <c r="E156"/>
      <c r="F156"/>
      <c r="G156"/>
      <c r="H156"/>
      <c r="I156"/>
      <c r="J156"/>
      <c r="K156"/>
      <c r="L156"/>
    </row>
    <row r="157" spans="2:12" s="2" customFormat="1" x14ac:dyDescent="0.25">
      <c r="B157" s="6"/>
      <c r="C157" s="7"/>
      <c r="D157"/>
      <c r="E157"/>
      <c r="F157"/>
      <c r="G157"/>
      <c r="H157"/>
      <c r="I157"/>
      <c r="J157"/>
      <c r="K157"/>
      <c r="L157"/>
    </row>
    <row r="158" spans="2:12" s="2" customFormat="1" x14ac:dyDescent="0.25">
      <c r="B158" s="6"/>
      <c r="C158" s="7"/>
      <c r="D158"/>
      <c r="E158"/>
      <c r="F158"/>
      <c r="G158"/>
      <c r="H158"/>
      <c r="I158"/>
      <c r="J158"/>
      <c r="K158"/>
      <c r="L158"/>
    </row>
    <row r="159" spans="2:12" s="2" customFormat="1" x14ac:dyDescent="0.25">
      <c r="B159" s="6"/>
      <c r="C159" s="7"/>
      <c r="D159"/>
      <c r="E159"/>
      <c r="F159"/>
      <c r="G159"/>
      <c r="H159"/>
      <c r="I159"/>
      <c r="J159"/>
      <c r="K159"/>
      <c r="L159"/>
    </row>
    <row r="160" spans="2:12" s="2" customFormat="1" x14ac:dyDescent="0.25">
      <c r="B160" s="6"/>
      <c r="C160" s="7"/>
      <c r="D160"/>
      <c r="E160"/>
      <c r="F160"/>
      <c r="G160"/>
      <c r="H160"/>
      <c r="I160"/>
      <c r="J160"/>
      <c r="K160"/>
      <c r="L160"/>
    </row>
    <row r="161" spans="2:12" s="2" customFormat="1" x14ac:dyDescent="0.25">
      <c r="B161" s="6"/>
      <c r="C161" s="7"/>
      <c r="D161"/>
      <c r="E161"/>
      <c r="F161"/>
      <c r="G161"/>
      <c r="H161"/>
      <c r="I161"/>
      <c r="J161"/>
      <c r="K161"/>
      <c r="L161"/>
    </row>
    <row r="162" spans="2:12" s="2" customFormat="1" x14ac:dyDescent="0.25">
      <c r="B162" s="6"/>
      <c r="C162" s="7"/>
      <c r="D162"/>
      <c r="E162"/>
      <c r="F162"/>
      <c r="G162"/>
      <c r="H162"/>
      <c r="I162"/>
      <c r="J162"/>
      <c r="K162"/>
      <c r="L162"/>
    </row>
    <row r="163" spans="2:12" s="2" customFormat="1" x14ac:dyDescent="0.25">
      <c r="B163" s="6"/>
      <c r="C163" s="7"/>
      <c r="D163"/>
      <c r="E163"/>
      <c r="F163"/>
      <c r="G163"/>
      <c r="H163"/>
      <c r="I163"/>
      <c r="J163"/>
      <c r="K163"/>
      <c r="L163"/>
    </row>
    <row r="164" spans="2:12" s="2" customFormat="1" x14ac:dyDescent="0.25">
      <c r="B164" s="6"/>
      <c r="C164" s="7"/>
      <c r="D164"/>
      <c r="E164"/>
      <c r="F164"/>
      <c r="G164"/>
      <c r="H164"/>
      <c r="I164"/>
      <c r="J164"/>
      <c r="K164"/>
      <c r="L164"/>
    </row>
    <row r="165" spans="2:12" s="2" customFormat="1" x14ac:dyDescent="0.25">
      <c r="B165" s="6"/>
      <c r="C165" s="7"/>
      <c r="D165"/>
      <c r="E165"/>
      <c r="F165"/>
      <c r="G165"/>
      <c r="H165"/>
      <c r="I165"/>
      <c r="J165"/>
      <c r="K165"/>
      <c r="L165"/>
    </row>
    <row r="166" spans="2:12" s="2" customFormat="1" x14ac:dyDescent="0.25">
      <c r="B166" s="6"/>
      <c r="C166" s="7"/>
      <c r="D166"/>
      <c r="E166"/>
      <c r="F166"/>
      <c r="G166"/>
      <c r="H166"/>
      <c r="I166"/>
      <c r="J166"/>
      <c r="K166"/>
      <c r="L166"/>
    </row>
    <row r="167" spans="2:12" s="2" customFormat="1" x14ac:dyDescent="0.25">
      <c r="B167" s="6"/>
      <c r="C167" s="7"/>
      <c r="D167"/>
      <c r="E167"/>
      <c r="F167"/>
      <c r="G167"/>
      <c r="H167"/>
      <c r="I167"/>
      <c r="J167"/>
      <c r="K167"/>
      <c r="L167"/>
    </row>
    <row r="168" spans="2:12" s="2" customFormat="1" x14ac:dyDescent="0.25">
      <c r="B168" s="6"/>
      <c r="C168" s="7"/>
      <c r="D168"/>
      <c r="E168"/>
      <c r="F168"/>
      <c r="G168"/>
      <c r="H168"/>
      <c r="I168"/>
      <c r="J168"/>
      <c r="K168"/>
      <c r="L168"/>
    </row>
    <row r="169" spans="2:12" s="2" customFormat="1" x14ac:dyDescent="0.25">
      <c r="B169" s="6"/>
      <c r="C169" s="7"/>
      <c r="D169"/>
      <c r="E169"/>
      <c r="F169"/>
      <c r="G169"/>
      <c r="H169"/>
      <c r="I169"/>
      <c r="J169"/>
      <c r="K169"/>
      <c r="L169"/>
    </row>
    <row r="170" spans="2:12" s="2" customFormat="1" x14ac:dyDescent="0.25">
      <c r="B170" s="6"/>
      <c r="C170" s="7"/>
      <c r="D170"/>
      <c r="E170"/>
      <c r="F170"/>
      <c r="G170"/>
      <c r="H170"/>
      <c r="I170"/>
      <c r="J170"/>
      <c r="K170"/>
      <c r="L170"/>
    </row>
    <row r="171" spans="2:12" s="2" customFormat="1" x14ac:dyDescent="0.25">
      <c r="B171" s="6"/>
      <c r="C171" s="7"/>
      <c r="D171"/>
      <c r="E171"/>
      <c r="F171"/>
      <c r="G171"/>
      <c r="H171"/>
      <c r="I171"/>
      <c r="J171"/>
      <c r="K171"/>
      <c r="L171"/>
    </row>
    <row r="172" spans="2:12" s="2" customFormat="1" x14ac:dyDescent="0.25">
      <c r="B172" s="6"/>
      <c r="C172" s="7"/>
      <c r="D172"/>
      <c r="E172"/>
      <c r="F172"/>
      <c r="G172"/>
      <c r="H172"/>
      <c r="I172"/>
      <c r="J172"/>
      <c r="K172"/>
      <c r="L172"/>
    </row>
    <row r="173" spans="2:12" s="2" customFormat="1" x14ac:dyDescent="0.25">
      <c r="B173" s="6"/>
      <c r="C173" s="7"/>
      <c r="D173"/>
      <c r="E173"/>
      <c r="F173"/>
      <c r="G173"/>
      <c r="H173"/>
      <c r="I173"/>
      <c r="J173"/>
      <c r="K173"/>
      <c r="L173"/>
    </row>
    <row r="174" spans="2:12" s="2" customFormat="1" x14ac:dyDescent="0.25">
      <c r="B174" s="6"/>
      <c r="C174" s="7"/>
      <c r="D174"/>
      <c r="E174"/>
      <c r="F174"/>
      <c r="G174"/>
      <c r="H174"/>
      <c r="I174"/>
      <c r="J174"/>
      <c r="K174"/>
      <c r="L174"/>
    </row>
    <row r="175" spans="2:12" s="2" customFormat="1" x14ac:dyDescent="0.25">
      <c r="B175" s="6"/>
      <c r="C175" s="7"/>
      <c r="D175"/>
      <c r="E175"/>
      <c r="F175"/>
      <c r="G175"/>
      <c r="H175"/>
      <c r="I175"/>
      <c r="J175"/>
      <c r="K175"/>
      <c r="L175"/>
    </row>
    <row r="176" spans="2:12" s="2" customFormat="1" x14ac:dyDescent="0.25">
      <c r="B176" s="6"/>
      <c r="C176" s="7"/>
      <c r="D176"/>
      <c r="E176"/>
      <c r="F176"/>
      <c r="G176"/>
      <c r="H176"/>
      <c r="I176"/>
      <c r="J176"/>
      <c r="K176"/>
      <c r="L176"/>
    </row>
    <row r="177" spans="2:12" s="2" customFormat="1" x14ac:dyDescent="0.25">
      <c r="B177" s="6"/>
      <c r="C177" s="7"/>
      <c r="D177"/>
      <c r="E177"/>
      <c r="F177"/>
      <c r="G177"/>
      <c r="H177"/>
      <c r="I177"/>
      <c r="J177"/>
      <c r="K177"/>
      <c r="L177"/>
    </row>
    <row r="178" spans="2:12" s="2" customFormat="1" x14ac:dyDescent="0.25">
      <c r="B178" s="6"/>
      <c r="C178" s="7"/>
      <c r="D178"/>
      <c r="E178"/>
      <c r="F178"/>
      <c r="G178"/>
      <c r="H178"/>
      <c r="I178"/>
      <c r="J178"/>
      <c r="K178"/>
      <c r="L178"/>
    </row>
    <row r="179" spans="2:12" s="2" customFormat="1" x14ac:dyDescent="0.25">
      <c r="B179" s="6"/>
      <c r="C179" s="7"/>
      <c r="D179"/>
      <c r="E179"/>
      <c r="F179"/>
      <c r="G179"/>
      <c r="H179"/>
      <c r="I179"/>
      <c r="J179"/>
      <c r="K179"/>
      <c r="L179"/>
    </row>
    <row r="180" spans="2:12" s="2" customFormat="1" x14ac:dyDescent="0.25">
      <c r="B180" s="6"/>
      <c r="C180" s="7"/>
      <c r="D180"/>
      <c r="E180"/>
      <c r="F180"/>
      <c r="G180"/>
      <c r="H180"/>
      <c r="I180"/>
      <c r="J180"/>
      <c r="K180"/>
      <c r="L180"/>
    </row>
    <row r="181" spans="2:12" s="2" customFormat="1" x14ac:dyDescent="0.25">
      <c r="B181" s="6"/>
      <c r="C181" s="7"/>
      <c r="D181"/>
      <c r="E181"/>
      <c r="F181"/>
      <c r="G181"/>
      <c r="H181"/>
      <c r="I181"/>
      <c r="J181"/>
      <c r="K181"/>
      <c r="L181"/>
    </row>
    <row r="182" spans="2:12" s="2" customFormat="1" x14ac:dyDescent="0.25">
      <c r="B182" s="6"/>
      <c r="C182" s="7"/>
      <c r="D182"/>
      <c r="E182"/>
      <c r="F182"/>
      <c r="G182"/>
      <c r="H182"/>
      <c r="I182"/>
      <c r="J182"/>
      <c r="K182"/>
      <c r="L182"/>
    </row>
    <row r="183" spans="2:12" s="2" customFormat="1" x14ac:dyDescent="0.25">
      <c r="B183" s="6"/>
      <c r="C183" s="7"/>
      <c r="D183"/>
      <c r="E183"/>
      <c r="F183"/>
      <c r="G183"/>
      <c r="H183"/>
      <c r="I183"/>
      <c r="J183"/>
      <c r="K183"/>
      <c r="L183"/>
    </row>
    <row r="184" spans="2:12" s="2" customFormat="1" x14ac:dyDescent="0.25">
      <c r="B184" s="6"/>
      <c r="C184" s="7"/>
      <c r="D184"/>
      <c r="E184"/>
      <c r="F184"/>
      <c r="G184"/>
      <c r="H184"/>
      <c r="I184"/>
      <c r="J184"/>
      <c r="K184"/>
      <c r="L184"/>
    </row>
    <row r="185" spans="2:12" s="2" customFormat="1" x14ac:dyDescent="0.25">
      <c r="B185" s="6"/>
      <c r="C185" s="7"/>
      <c r="D185"/>
      <c r="E185"/>
      <c r="F185"/>
      <c r="G185"/>
      <c r="H185"/>
      <c r="I185"/>
      <c r="J185"/>
      <c r="K185"/>
      <c r="L185"/>
    </row>
    <row r="186" spans="2:12" s="2" customFormat="1" x14ac:dyDescent="0.25">
      <c r="B186" s="6"/>
      <c r="C186" s="7"/>
      <c r="D186"/>
      <c r="E186"/>
      <c r="F186"/>
      <c r="G186"/>
      <c r="H186"/>
      <c r="I186"/>
      <c r="J186"/>
      <c r="K186"/>
      <c r="L186"/>
    </row>
    <row r="187" spans="2:12" s="2" customFormat="1" x14ac:dyDescent="0.25">
      <c r="B187" s="6"/>
      <c r="C187" s="7"/>
      <c r="D187"/>
      <c r="E187"/>
      <c r="F187"/>
      <c r="G187"/>
      <c r="H187"/>
      <c r="I187"/>
      <c r="J187"/>
      <c r="K187"/>
      <c r="L187"/>
    </row>
    <row r="188" spans="2:12" s="2" customFormat="1" x14ac:dyDescent="0.25">
      <c r="B188" s="6"/>
      <c r="C188" s="7"/>
      <c r="D188"/>
      <c r="E188"/>
      <c r="F188"/>
      <c r="G188"/>
      <c r="H188"/>
      <c r="I188"/>
      <c r="J188"/>
      <c r="K188"/>
      <c r="L188"/>
    </row>
    <row r="189" spans="2:12" s="2" customFormat="1" x14ac:dyDescent="0.25">
      <c r="B189" s="6"/>
      <c r="C189" s="7"/>
      <c r="D189"/>
      <c r="E189"/>
      <c r="F189"/>
      <c r="G189"/>
      <c r="H189"/>
      <c r="I189"/>
      <c r="J189"/>
      <c r="K189"/>
      <c r="L189"/>
    </row>
    <row r="190" spans="2:12" s="2" customFormat="1" x14ac:dyDescent="0.25">
      <c r="B190" s="6"/>
      <c r="C190" s="7"/>
      <c r="D190"/>
      <c r="E190"/>
      <c r="F190"/>
      <c r="G190"/>
      <c r="H190"/>
      <c r="I190"/>
      <c r="J190"/>
      <c r="K190"/>
      <c r="L190"/>
    </row>
    <row r="191" spans="2:12" s="2" customFormat="1" x14ac:dyDescent="0.25">
      <c r="B191" s="6"/>
      <c r="C191" s="7"/>
      <c r="D191"/>
      <c r="E191"/>
      <c r="F191"/>
      <c r="G191"/>
      <c r="H191"/>
      <c r="I191"/>
      <c r="J191"/>
      <c r="K191"/>
      <c r="L191"/>
    </row>
    <row r="192" spans="2:12" s="2" customFormat="1" x14ac:dyDescent="0.25">
      <c r="B192" s="6"/>
      <c r="C192" s="7"/>
      <c r="D192"/>
      <c r="E192"/>
      <c r="F192"/>
      <c r="G192"/>
      <c r="H192"/>
      <c r="I192"/>
      <c r="J192"/>
      <c r="K192"/>
      <c r="L192"/>
    </row>
    <row r="193" spans="2:12" s="2" customFormat="1" x14ac:dyDescent="0.25">
      <c r="B193" s="6"/>
      <c r="C193" s="7"/>
      <c r="D193"/>
      <c r="E193"/>
      <c r="F193"/>
      <c r="G193"/>
      <c r="H193"/>
      <c r="I193"/>
      <c r="J193"/>
      <c r="K193"/>
      <c r="L193"/>
    </row>
    <row r="194" spans="2:12" s="2" customFormat="1" x14ac:dyDescent="0.25">
      <c r="B194" s="6"/>
      <c r="C194" s="7"/>
      <c r="D194"/>
      <c r="E194"/>
      <c r="F194"/>
      <c r="G194"/>
      <c r="H194"/>
      <c r="I194"/>
      <c r="J194"/>
      <c r="K194"/>
      <c r="L194"/>
    </row>
    <row r="195" spans="2:12" s="2" customFormat="1" x14ac:dyDescent="0.25">
      <c r="B195" s="6"/>
      <c r="C195" s="7"/>
      <c r="D195"/>
      <c r="E195"/>
      <c r="F195"/>
      <c r="G195"/>
      <c r="H195"/>
      <c r="I195"/>
      <c r="J195"/>
      <c r="K195"/>
      <c r="L195"/>
    </row>
    <row r="196" spans="2:12" s="2" customFormat="1" x14ac:dyDescent="0.25">
      <c r="B196" s="6"/>
      <c r="C196" s="7"/>
      <c r="D196"/>
      <c r="E196"/>
      <c r="F196"/>
      <c r="G196"/>
      <c r="H196"/>
      <c r="I196"/>
      <c r="J196"/>
      <c r="K196"/>
      <c r="L196"/>
    </row>
    <row r="197" spans="2:12" s="2" customFormat="1" x14ac:dyDescent="0.25">
      <c r="B197" s="6"/>
      <c r="C197" s="7"/>
      <c r="D197"/>
      <c r="E197"/>
      <c r="F197"/>
      <c r="G197"/>
      <c r="H197"/>
      <c r="I197"/>
      <c r="J197"/>
      <c r="K197"/>
      <c r="L197"/>
    </row>
    <row r="198" spans="2:12" s="2" customFormat="1" x14ac:dyDescent="0.25">
      <c r="B198" s="6"/>
      <c r="C198" s="7"/>
      <c r="D198"/>
      <c r="E198"/>
      <c r="F198"/>
      <c r="G198"/>
      <c r="H198"/>
      <c r="I198"/>
      <c r="J198"/>
      <c r="K198"/>
      <c r="L198"/>
    </row>
    <row r="199" spans="2:12" s="2" customFormat="1" x14ac:dyDescent="0.25">
      <c r="B199" s="6"/>
      <c r="C199" s="7"/>
      <c r="D199"/>
      <c r="E199"/>
      <c r="F199"/>
      <c r="G199"/>
      <c r="H199"/>
      <c r="I199"/>
      <c r="J199"/>
      <c r="K199"/>
      <c r="L199"/>
    </row>
    <row r="200" spans="2:12" s="2" customFormat="1" x14ac:dyDescent="0.25">
      <c r="B200" s="6"/>
      <c r="C200" s="7"/>
      <c r="D200"/>
      <c r="E200"/>
      <c r="F200"/>
      <c r="G200"/>
      <c r="H200"/>
      <c r="I200"/>
      <c r="J200"/>
      <c r="K200"/>
      <c r="L200"/>
    </row>
    <row r="201" spans="2:12" s="2" customFormat="1" x14ac:dyDescent="0.25">
      <c r="B201" s="6"/>
      <c r="C201" s="7"/>
      <c r="D201"/>
      <c r="E201"/>
      <c r="F201"/>
      <c r="G201"/>
      <c r="H201"/>
      <c r="I201"/>
      <c r="J201"/>
      <c r="K201"/>
      <c r="L201"/>
    </row>
    <row r="202" spans="2:12" s="2" customFormat="1" x14ac:dyDescent="0.25">
      <c r="B202" s="6"/>
      <c r="C202" s="7"/>
      <c r="D202"/>
      <c r="E202"/>
      <c r="F202"/>
      <c r="G202"/>
      <c r="H202"/>
      <c r="I202"/>
      <c r="J202"/>
      <c r="K202"/>
      <c r="L202"/>
    </row>
    <row r="203" spans="2:12" s="2" customFormat="1" x14ac:dyDescent="0.25">
      <c r="B203" s="6"/>
      <c r="C203" s="7"/>
      <c r="D203"/>
      <c r="E203"/>
      <c r="F203"/>
      <c r="G203"/>
      <c r="H203"/>
      <c r="I203"/>
      <c r="J203"/>
      <c r="K203"/>
      <c r="L203"/>
    </row>
    <row r="204" spans="2:12" s="2" customFormat="1" x14ac:dyDescent="0.25">
      <c r="B204" s="6"/>
      <c r="C204" s="7"/>
      <c r="D204"/>
      <c r="E204"/>
      <c r="F204"/>
      <c r="G204"/>
      <c r="H204"/>
      <c r="I204"/>
      <c r="J204"/>
      <c r="K204"/>
      <c r="L204"/>
    </row>
    <row r="205" spans="2:12" s="2" customFormat="1" x14ac:dyDescent="0.25">
      <c r="B205" s="6"/>
      <c r="C205" s="7"/>
      <c r="D205"/>
      <c r="E205"/>
      <c r="F205"/>
      <c r="G205"/>
      <c r="H205"/>
      <c r="I205"/>
      <c r="J205"/>
      <c r="K205"/>
      <c r="L205"/>
    </row>
    <row r="206" spans="2:12" s="2" customFormat="1" x14ac:dyDescent="0.25">
      <c r="B206" s="6"/>
      <c r="C206" s="7"/>
      <c r="D206"/>
      <c r="E206"/>
      <c r="F206"/>
      <c r="G206"/>
      <c r="H206"/>
      <c r="I206"/>
      <c r="J206"/>
      <c r="K206"/>
      <c r="L206"/>
    </row>
    <row r="207" spans="2:12" s="2" customFormat="1" x14ac:dyDescent="0.25">
      <c r="B207" s="6"/>
      <c r="C207" s="7"/>
      <c r="D207"/>
      <c r="E207"/>
      <c r="F207"/>
      <c r="G207"/>
      <c r="H207"/>
      <c r="I207"/>
      <c r="J207"/>
      <c r="K207"/>
      <c r="L207"/>
    </row>
    <row r="208" spans="2:12" s="2" customFormat="1" x14ac:dyDescent="0.25">
      <c r="B208" s="6"/>
      <c r="C208" s="7"/>
      <c r="D208"/>
      <c r="E208"/>
      <c r="F208"/>
      <c r="G208"/>
      <c r="H208"/>
      <c r="I208"/>
      <c r="J208"/>
      <c r="K208"/>
      <c r="L208"/>
    </row>
    <row r="209" spans="2:12" s="2" customFormat="1" x14ac:dyDescent="0.25">
      <c r="B209" s="6"/>
      <c r="C209" s="7"/>
      <c r="D209"/>
      <c r="E209"/>
      <c r="F209"/>
      <c r="G209"/>
      <c r="H209"/>
      <c r="I209"/>
      <c r="J209"/>
      <c r="K209"/>
      <c r="L209"/>
    </row>
    <row r="210" spans="2:12" s="2" customFormat="1" x14ac:dyDescent="0.25">
      <c r="B210" s="6"/>
      <c r="C210" s="7"/>
      <c r="D210"/>
      <c r="E210"/>
      <c r="F210"/>
      <c r="G210"/>
      <c r="H210"/>
      <c r="I210"/>
      <c r="J210"/>
      <c r="K210"/>
      <c r="L210"/>
    </row>
    <row r="211" spans="2:12" s="2" customFormat="1" x14ac:dyDescent="0.25">
      <c r="B211" s="6"/>
      <c r="C211" s="7"/>
      <c r="D211"/>
      <c r="E211"/>
      <c r="F211"/>
      <c r="G211"/>
      <c r="H211"/>
      <c r="I211"/>
      <c r="J211"/>
      <c r="K211"/>
      <c r="L211"/>
    </row>
    <row r="212" spans="2:12" s="2" customFormat="1" x14ac:dyDescent="0.25">
      <c r="B212" s="6"/>
      <c r="C212" s="7"/>
      <c r="D212"/>
      <c r="E212"/>
      <c r="F212"/>
      <c r="G212"/>
      <c r="H212"/>
      <c r="I212"/>
      <c r="J212"/>
      <c r="K212"/>
      <c r="L212"/>
    </row>
    <row r="213" spans="2:12" s="2" customFormat="1" x14ac:dyDescent="0.25">
      <c r="B213" s="6"/>
      <c r="C213" s="7"/>
      <c r="D213"/>
      <c r="E213"/>
      <c r="F213"/>
      <c r="G213"/>
      <c r="H213"/>
      <c r="I213"/>
      <c r="J213"/>
      <c r="K213"/>
      <c r="L213"/>
    </row>
    <row r="214" spans="2:12" s="2" customFormat="1" x14ac:dyDescent="0.25">
      <c r="B214" s="6"/>
      <c r="C214" s="7"/>
      <c r="D214"/>
      <c r="E214"/>
      <c r="F214"/>
      <c r="G214"/>
      <c r="H214"/>
      <c r="I214"/>
      <c r="J214"/>
      <c r="K214"/>
      <c r="L214"/>
    </row>
    <row r="215" spans="2:12" s="2" customFormat="1" x14ac:dyDescent="0.25">
      <c r="B215" s="6"/>
      <c r="C215" s="7"/>
      <c r="D215"/>
      <c r="E215"/>
      <c r="F215"/>
      <c r="G215"/>
      <c r="H215"/>
      <c r="I215"/>
      <c r="J215"/>
      <c r="K215"/>
      <c r="L215"/>
    </row>
    <row r="216" spans="2:12" s="2" customFormat="1" x14ac:dyDescent="0.25">
      <c r="B216" s="6"/>
      <c r="C216" s="7"/>
      <c r="D216"/>
      <c r="E216"/>
      <c r="F216"/>
      <c r="G216"/>
      <c r="H216"/>
      <c r="I216"/>
      <c r="J216"/>
      <c r="K216"/>
      <c r="L216"/>
    </row>
    <row r="217" spans="2:12" s="2" customFormat="1" x14ac:dyDescent="0.25">
      <c r="B217" s="6"/>
      <c r="C217" s="7"/>
      <c r="D217"/>
      <c r="E217"/>
      <c r="F217"/>
      <c r="G217"/>
      <c r="H217"/>
      <c r="I217"/>
      <c r="J217"/>
      <c r="K217"/>
      <c r="L217"/>
    </row>
    <row r="218" spans="2:12" s="2" customFormat="1" x14ac:dyDescent="0.25">
      <c r="B218" s="6"/>
      <c r="C218" s="7"/>
      <c r="D218"/>
      <c r="E218"/>
      <c r="F218"/>
      <c r="G218"/>
      <c r="H218"/>
      <c r="I218"/>
      <c r="J218"/>
      <c r="K218"/>
      <c r="L218"/>
    </row>
    <row r="219" spans="2:12" s="2" customFormat="1" x14ac:dyDescent="0.25">
      <c r="B219" s="6"/>
      <c r="C219" s="7"/>
      <c r="D219"/>
      <c r="E219"/>
      <c r="F219"/>
      <c r="G219"/>
      <c r="H219"/>
      <c r="I219"/>
      <c r="J219"/>
      <c r="K219"/>
      <c r="L219"/>
    </row>
    <row r="220" spans="2:12" s="2" customFormat="1" x14ac:dyDescent="0.25">
      <c r="B220" s="6"/>
      <c r="C220" s="7"/>
      <c r="D220"/>
      <c r="E220"/>
      <c r="F220"/>
      <c r="G220"/>
      <c r="H220"/>
      <c r="I220"/>
      <c r="J220"/>
      <c r="K220"/>
      <c r="L220"/>
    </row>
    <row r="221" spans="2:12" s="2" customFormat="1" x14ac:dyDescent="0.25">
      <c r="B221" s="6"/>
      <c r="C221" s="7"/>
      <c r="D221"/>
      <c r="E221"/>
      <c r="F221"/>
      <c r="G221"/>
      <c r="H221"/>
      <c r="I221"/>
      <c r="J221"/>
      <c r="K221"/>
      <c r="L221"/>
    </row>
    <row r="222" spans="2:12" s="2" customFormat="1" x14ac:dyDescent="0.25">
      <c r="B222" s="6"/>
      <c r="C222" s="7"/>
      <c r="D222"/>
      <c r="E222"/>
      <c r="F222"/>
      <c r="G222"/>
      <c r="H222"/>
      <c r="I222"/>
      <c r="J222"/>
      <c r="K222"/>
      <c r="L222"/>
    </row>
    <row r="223" spans="2:12" s="2" customFormat="1" x14ac:dyDescent="0.25">
      <c r="B223" s="6"/>
      <c r="C223" s="7"/>
      <c r="D223"/>
      <c r="E223"/>
      <c r="F223"/>
      <c r="G223"/>
      <c r="H223"/>
      <c r="I223"/>
      <c r="J223"/>
      <c r="K223"/>
      <c r="L223"/>
    </row>
    <row r="224" spans="2:12" s="2" customFormat="1" x14ac:dyDescent="0.25">
      <c r="B224" s="6"/>
      <c r="C224" s="7"/>
      <c r="D224"/>
      <c r="E224"/>
      <c r="F224"/>
      <c r="G224"/>
      <c r="H224"/>
      <c r="I224"/>
      <c r="J224"/>
      <c r="K224"/>
      <c r="L224"/>
    </row>
    <row r="225" spans="2:12" s="2" customFormat="1" x14ac:dyDescent="0.25">
      <c r="B225" s="6"/>
      <c r="C225" s="7"/>
      <c r="D225"/>
      <c r="E225"/>
      <c r="F225"/>
      <c r="G225"/>
      <c r="H225"/>
      <c r="I225"/>
      <c r="J225"/>
      <c r="K225"/>
      <c r="L225"/>
    </row>
    <row r="226" spans="2:12" s="2" customFormat="1" x14ac:dyDescent="0.25">
      <c r="B226" s="6"/>
      <c r="C226" s="7"/>
      <c r="D226"/>
      <c r="E226"/>
      <c r="F226"/>
      <c r="G226"/>
      <c r="H226"/>
      <c r="I226"/>
      <c r="J226"/>
      <c r="K226"/>
      <c r="L226"/>
    </row>
    <row r="227" spans="2:12" s="2" customFormat="1" x14ac:dyDescent="0.25">
      <c r="B227" s="6"/>
      <c r="C227" s="7"/>
      <c r="D227"/>
      <c r="E227"/>
      <c r="F227"/>
      <c r="G227"/>
      <c r="H227"/>
      <c r="I227"/>
      <c r="J227"/>
      <c r="K227"/>
      <c r="L227"/>
    </row>
    <row r="228" spans="2:12" s="2" customFormat="1" x14ac:dyDescent="0.25">
      <c r="B228" s="6"/>
      <c r="C228" s="7"/>
      <c r="D228"/>
      <c r="E228"/>
      <c r="F228"/>
      <c r="G228"/>
      <c r="H228"/>
      <c r="I228"/>
      <c r="J228"/>
      <c r="K228"/>
      <c r="L228"/>
    </row>
    <row r="229" spans="2:12" s="2" customFormat="1" x14ac:dyDescent="0.25">
      <c r="B229" s="6"/>
      <c r="C229" s="7"/>
      <c r="D229"/>
      <c r="E229"/>
      <c r="F229"/>
      <c r="G229"/>
      <c r="H229"/>
      <c r="I229"/>
      <c r="J229"/>
      <c r="K229"/>
      <c r="L229"/>
    </row>
    <row r="230" spans="2:12" s="2" customFormat="1" x14ac:dyDescent="0.25">
      <c r="B230" s="6"/>
      <c r="C230" s="7"/>
      <c r="D230"/>
      <c r="E230"/>
      <c r="F230"/>
      <c r="G230"/>
      <c r="H230"/>
      <c r="I230"/>
      <c r="J230"/>
      <c r="K230"/>
      <c r="L230"/>
    </row>
    <row r="231" spans="2:12" s="2" customFormat="1" x14ac:dyDescent="0.25">
      <c r="B231" s="6"/>
      <c r="C231" s="7"/>
      <c r="D231"/>
      <c r="E231"/>
      <c r="F231"/>
      <c r="G231"/>
      <c r="H231"/>
      <c r="I231"/>
      <c r="J231"/>
      <c r="K231"/>
      <c r="L231"/>
    </row>
    <row r="232" spans="2:12" s="2" customFormat="1" x14ac:dyDescent="0.25">
      <c r="B232" s="6"/>
      <c r="C232" s="7"/>
      <c r="D232"/>
      <c r="E232"/>
      <c r="F232"/>
      <c r="G232"/>
      <c r="H232"/>
      <c r="I232"/>
      <c r="J232"/>
      <c r="K232"/>
      <c r="L232"/>
    </row>
    <row r="233" spans="2:12" s="2" customFormat="1" x14ac:dyDescent="0.25">
      <c r="B233" s="6"/>
      <c r="C233" s="7"/>
      <c r="D233"/>
      <c r="E233"/>
      <c r="F233"/>
      <c r="G233"/>
      <c r="H233"/>
      <c r="I233"/>
      <c r="J233"/>
      <c r="K233"/>
      <c r="L233"/>
    </row>
    <row r="234" spans="2:12" s="2" customFormat="1" x14ac:dyDescent="0.25">
      <c r="B234" s="6"/>
      <c r="C234" s="7"/>
      <c r="D234"/>
      <c r="E234"/>
      <c r="F234"/>
      <c r="G234"/>
      <c r="H234"/>
      <c r="I234"/>
      <c r="J234"/>
      <c r="K234"/>
      <c r="L234"/>
    </row>
    <row r="235" spans="2:12" s="2" customFormat="1" x14ac:dyDescent="0.25">
      <c r="B235" s="6"/>
      <c r="C235" s="7"/>
      <c r="D235"/>
      <c r="E235"/>
      <c r="F235"/>
      <c r="G235"/>
      <c r="H235"/>
      <c r="I235"/>
      <c r="J235"/>
      <c r="K235"/>
      <c r="L235"/>
    </row>
    <row r="236" spans="2:12" s="2" customFormat="1" x14ac:dyDescent="0.25">
      <c r="B236" s="6"/>
      <c r="C236" s="7"/>
      <c r="D236"/>
      <c r="E236"/>
      <c r="F236"/>
      <c r="G236"/>
      <c r="H236"/>
      <c r="I236"/>
      <c r="J236"/>
      <c r="K236"/>
      <c r="L236"/>
    </row>
    <row r="237" spans="2:12" s="2" customFormat="1" x14ac:dyDescent="0.25">
      <c r="B237" s="6"/>
      <c r="C237" s="7"/>
      <c r="D237"/>
      <c r="E237"/>
      <c r="F237"/>
      <c r="G237"/>
      <c r="H237"/>
      <c r="I237"/>
      <c r="J237"/>
      <c r="K237"/>
      <c r="L237"/>
    </row>
    <row r="238" spans="2:12" s="2" customFormat="1" x14ac:dyDescent="0.25">
      <c r="B238" s="6"/>
      <c r="C238" s="7"/>
      <c r="D238"/>
      <c r="E238"/>
      <c r="F238"/>
      <c r="G238"/>
      <c r="H238"/>
      <c r="I238"/>
      <c r="J238"/>
      <c r="K238"/>
      <c r="L238"/>
    </row>
    <row r="239" spans="2:12" s="2" customFormat="1" x14ac:dyDescent="0.25">
      <c r="B239" s="6"/>
      <c r="C239" s="7"/>
      <c r="D239"/>
      <c r="E239"/>
      <c r="F239"/>
      <c r="G239"/>
      <c r="H239"/>
      <c r="I239"/>
      <c r="J239"/>
      <c r="K239"/>
      <c r="L239"/>
    </row>
    <row r="240" spans="2:12" s="2" customFormat="1" x14ac:dyDescent="0.25">
      <c r="B240" s="6"/>
      <c r="C240" s="7"/>
      <c r="D240"/>
      <c r="E240"/>
      <c r="F240"/>
      <c r="G240"/>
      <c r="H240"/>
      <c r="I240"/>
      <c r="J240"/>
      <c r="K240"/>
      <c r="L240"/>
    </row>
    <row r="241" spans="2:12" s="2" customFormat="1" x14ac:dyDescent="0.25">
      <c r="B241" s="6"/>
      <c r="C241" s="7"/>
      <c r="D241"/>
      <c r="E241"/>
      <c r="F241"/>
      <c r="G241"/>
      <c r="H241"/>
      <c r="I241"/>
      <c r="J241"/>
      <c r="K241"/>
      <c r="L241"/>
    </row>
    <row r="242" spans="2:12" s="2" customFormat="1" x14ac:dyDescent="0.25">
      <c r="B242" s="6"/>
      <c r="C242" s="7"/>
      <c r="D242"/>
      <c r="E242"/>
      <c r="F242"/>
      <c r="G242"/>
      <c r="H242"/>
      <c r="I242"/>
      <c r="J242"/>
      <c r="K242"/>
      <c r="L242"/>
    </row>
    <row r="243" spans="2:12" s="2" customFormat="1" x14ac:dyDescent="0.25">
      <c r="B243" s="6"/>
      <c r="C243" s="7"/>
      <c r="D243"/>
      <c r="E243"/>
      <c r="F243"/>
      <c r="G243"/>
      <c r="H243"/>
      <c r="I243"/>
      <c r="J243"/>
      <c r="K243"/>
      <c r="L243"/>
    </row>
    <row r="244" spans="2:12" s="2" customFormat="1" x14ac:dyDescent="0.25">
      <c r="B244" s="6"/>
      <c r="C244" s="7"/>
      <c r="D244"/>
      <c r="E244"/>
      <c r="F244"/>
      <c r="G244"/>
      <c r="H244"/>
      <c r="I244"/>
      <c r="J244"/>
      <c r="K244"/>
      <c r="L244"/>
    </row>
    <row r="245" spans="2:12" s="2" customFormat="1" x14ac:dyDescent="0.25">
      <c r="B245" s="6"/>
      <c r="C245" s="7"/>
      <c r="D245"/>
      <c r="E245"/>
      <c r="F245"/>
      <c r="G245"/>
      <c r="H245"/>
      <c r="I245"/>
      <c r="J245"/>
      <c r="K245"/>
      <c r="L245"/>
    </row>
    <row r="246" spans="2:12" s="2" customFormat="1" x14ac:dyDescent="0.25">
      <c r="B246" s="6"/>
      <c r="C246" s="7"/>
      <c r="D246"/>
      <c r="E246"/>
      <c r="F246"/>
      <c r="G246"/>
      <c r="H246"/>
      <c r="I246"/>
      <c r="J246"/>
      <c r="K246"/>
      <c r="L246"/>
    </row>
    <row r="247" spans="2:12" s="2" customFormat="1" x14ac:dyDescent="0.25">
      <c r="B247" s="6"/>
      <c r="C247" s="7"/>
      <c r="D247"/>
      <c r="E247"/>
      <c r="F247"/>
      <c r="G247"/>
      <c r="H247"/>
      <c r="I247"/>
      <c r="J247"/>
      <c r="K247"/>
      <c r="L247"/>
    </row>
    <row r="248" spans="2:12" s="2" customFormat="1" x14ac:dyDescent="0.25">
      <c r="B248" s="6"/>
      <c r="C248" s="7"/>
      <c r="D248"/>
      <c r="E248"/>
      <c r="F248"/>
      <c r="G248"/>
      <c r="H248"/>
      <c r="I248"/>
      <c r="J248"/>
      <c r="K248"/>
      <c r="L248"/>
    </row>
    <row r="249" spans="2:12" s="2" customFormat="1" x14ac:dyDescent="0.25">
      <c r="B249" s="6"/>
      <c r="C249" s="7"/>
      <c r="D249"/>
      <c r="E249"/>
      <c r="F249"/>
      <c r="G249"/>
      <c r="H249"/>
      <c r="I249"/>
      <c r="J249"/>
      <c r="K249"/>
      <c r="L249"/>
    </row>
    <row r="250" spans="2:12" s="2" customFormat="1" x14ac:dyDescent="0.25">
      <c r="B250" s="6"/>
      <c r="C250" s="7"/>
      <c r="D250"/>
      <c r="E250"/>
      <c r="F250"/>
      <c r="G250"/>
      <c r="H250"/>
      <c r="I250"/>
      <c r="J250"/>
      <c r="K250"/>
      <c r="L250"/>
    </row>
    <row r="251" spans="2:12" s="2" customFormat="1" x14ac:dyDescent="0.25">
      <c r="B251" s="6"/>
      <c r="C251" s="7"/>
      <c r="D251"/>
      <c r="E251"/>
      <c r="F251"/>
      <c r="G251"/>
      <c r="H251"/>
      <c r="I251"/>
      <c r="J251"/>
      <c r="K251"/>
      <c r="L251"/>
    </row>
    <row r="252" spans="2:12" s="2" customFormat="1" x14ac:dyDescent="0.25">
      <c r="B252" s="6"/>
      <c r="C252" s="7"/>
      <c r="D252"/>
      <c r="E252"/>
      <c r="F252"/>
      <c r="G252"/>
      <c r="H252"/>
      <c r="I252"/>
      <c r="J252"/>
      <c r="K252"/>
      <c r="L252"/>
    </row>
    <row r="253" spans="2:12" s="2" customFormat="1" x14ac:dyDescent="0.25">
      <c r="B253" s="6"/>
      <c r="C253" s="7"/>
      <c r="D253"/>
      <c r="E253"/>
      <c r="F253"/>
      <c r="G253"/>
      <c r="H253"/>
      <c r="I253"/>
      <c r="J253"/>
      <c r="K253"/>
      <c r="L253"/>
    </row>
    <row r="254" spans="2:12" s="2" customFormat="1" x14ac:dyDescent="0.25">
      <c r="B254" s="6"/>
      <c r="C254" s="7"/>
      <c r="D254"/>
      <c r="E254"/>
      <c r="F254"/>
      <c r="G254"/>
      <c r="H254"/>
      <c r="I254"/>
      <c r="J254"/>
      <c r="K254"/>
      <c r="L254"/>
    </row>
    <row r="255" spans="2:12" s="2" customFormat="1" x14ac:dyDescent="0.25">
      <c r="B255" s="6"/>
      <c r="C255" s="7"/>
      <c r="D255"/>
      <c r="E255"/>
      <c r="F255"/>
      <c r="G255"/>
      <c r="H255"/>
      <c r="I255"/>
      <c r="J255"/>
      <c r="K255"/>
      <c r="L255"/>
    </row>
    <row r="256" spans="2:12" s="2" customFormat="1" x14ac:dyDescent="0.25">
      <c r="B256" s="6"/>
      <c r="C256" s="7"/>
      <c r="D256"/>
      <c r="E256"/>
      <c r="F256"/>
      <c r="G256"/>
      <c r="H256"/>
      <c r="I256"/>
      <c r="J256"/>
      <c r="K256"/>
      <c r="L256"/>
    </row>
    <row r="257" spans="2:12" s="2" customFormat="1" x14ac:dyDescent="0.25">
      <c r="B257" s="6"/>
      <c r="C257" s="7"/>
      <c r="D257"/>
      <c r="E257"/>
      <c r="F257"/>
      <c r="G257"/>
      <c r="H257"/>
      <c r="I257"/>
      <c r="J257"/>
      <c r="K257"/>
      <c r="L257"/>
    </row>
    <row r="258" spans="2:12" s="2" customFormat="1" x14ac:dyDescent="0.25">
      <c r="B258" s="6"/>
      <c r="C258" s="7"/>
      <c r="D258"/>
      <c r="E258"/>
      <c r="F258"/>
      <c r="G258"/>
      <c r="H258"/>
      <c r="I258"/>
      <c r="J258"/>
      <c r="K258"/>
      <c r="L258"/>
    </row>
    <row r="259" spans="2:12" s="2" customFormat="1" x14ac:dyDescent="0.25">
      <c r="B259" s="6"/>
      <c r="C259" s="7"/>
      <c r="D259"/>
      <c r="E259"/>
      <c r="F259"/>
      <c r="G259"/>
      <c r="H259"/>
      <c r="I259"/>
      <c r="J259"/>
      <c r="K259"/>
      <c r="L259"/>
    </row>
    <row r="260" spans="2:12" s="2" customFormat="1" x14ac:dyDescent="0.25">
      <c r="B260" s="6"/>
      <c r="C260" s="7"/>
      <c r="D260"/>
      <c r="E260"/>
      <c r="F260"/>
      <c r="G260"/>
      <c r="H260"/>
      <c r="I260"/>
      <c r="J260"/>
      <c r="K260"/>
      <c r="L260"/>
    </row>
    <row r="261" spans="2:12" s="2" customFormat="1" x14ac:dyDescent="0.25">
      <c r="B261" s="6"/>
      <c r="C261" s="7"/>
      <c r="D261"/>
      <c r="E261"/>
      <c r="F261"/>
      <c r="G261"/>
      <c r="H261"/>
      <c r="I261"/>
      <c r="J261"/>
      <c r="K261"/>
      <c r="L261"/>
    </row>
    <row r="262" spans="2:12" s="2" customFormat="1" x14ac:dyDescent="0.25">
      <c r="B262" s="6"/>
      <c r="C262" s="7"/>
      <c r="D262"/>
      <c r="E262"/>
      <c r="F262"/>
      <c r="G262"/>
      <c r="H262"/>
      <c r="I262"/>
      <c r="J262"/>
      <c r="K262"/>
      <c r="L262"/>
    </row>
    <row r="263" spans="2:12" s="2" customFormat="1" x14ac:dyDescent="0.25">
      <c r="B263" s="6"/>
      <c r="C263" s="7"/>
      <c r="D263"/>
      <c r="E263"/>
      <c r="F263"/>
      <c r="G263"/>
      <c r="H263"/>
      <c r="I263"/>
      <c r="J263"/>
      <c r="K263"/>
      <c r="L263"/>
    </row>
    <row r="264" spans="2:12" s="2" customFormat="1" x14ac:dyDescent="0.25">
      <c r="B264" s="6"/>
      <c r="C264" s="7"/>
      <c r="D264"/>
      <c r="E264"/>
      <c r="F264"/>
      <c r="G264"/>
      <c r="H264"/>
      <c r="I264"/>
      <c r="J264"/>
      <c r="K264"/>
      <c r="L264"/>
    </row>
    <row r="265" spans="2:12" s="2" customFormat="1" x14ac:dyDescent="0.25">
      <c r="B265" s="6"/>
      <c r="C265" s="7"/>
      <c r="D265"/>
      <c r="E265"/>
      <c r="F265"/>
      <c r="G265"/>
      <c r="H265"/>
      <c r="I265"/>
      <c r="J265"/>
      <c r="K265"/>
      <c r="L265"/>
    </row>
    <row r="266" spans="2:12" s="2" customFormat="1" x14ac:dyDescent="0.25">
      <c r="B266" s="6"/>
      <c r="C266" s="7"/>
      <c r="D266"/>
      <c r="E266"/>
      <c r="F266"/>
      <c r="G266"/>
      <c r="H266"/>
      <c r="I266"/>
      <c r="J266"/>
      <c r="K266"/>
      <c r="L266"/>
    </row>
    <row r="267" spans="2:12" s="2" customFormat="1" x14ac:dyDescent="0.25">
      <c r="B267" s="6"/>
      <c r="C267" s="7"/>
      <c r="D267"/>
      <c r="E267"/>
      <c r="F267"/>
      <c r="G267"/>
      <c r="H267"/>
      <c r="I267"/>
      <c r="J267"/>
      <c r="K267"/>
      <c r="L267"/>
    </row>
    <row r="268" spans="2:12" s="2" customFormat="1" x14ac:dyDescent="0.25">
      <c r="B268" s="6"/>
      <c r="C268" s="7"/>
      <c r="D268"/>
      <c r="E268"/>
      <c r="F268"/>
      <c r="G268"/>
      <c r="H268"/>
      <c r="I268"/>
      <c r="J268"/>
      <c r="K268"/>
      <c r="L268"/>
    </row>
    <row r="269" spans="2:12" s="2" customFormat="1" x14ac:dyDescent="0.25">
      <c r="B269" s="6"/>
      <c r="C269" s="7"/>
      <c r="D269"/>
      <c r="E269"/>
      <c r="F269"/>
      <c r="G269"/>
      <c r="H269"/>
      <c r="I269"/>
      <c r="J269"/>
      <c r="K269"/>
      <c r="L269"/>
    </row>
    <row r="270" spans="2:12" s="2" customFormat="1" x14ac:dyDescent="0.25">
      <c r="B270" s="6"/>
      <c r="C270" s="7"/>
      <c r="D270"/>
      <c r="E270"/>
      <c r="F270"/>
      <c r="G270"/>
      <c r="H270"/>
      <c r="I270"/>
      <c r="J270"/>
      <c r="K270"/>
      <c r="L270"/>
    </row>
    <row r="271" spans="2:12" s="2" customFormat="1" x14ac:dyDescent="0.25">
      <c r="B271" s="6"/>
      <c r="C271" s="7"/>
      <c r="D271"/>
      <c r="E271"/>
      <c r="F271"/>
      <c r="G271"/>
      <c r="H271"/>
      <c r="I271"/>
      <c r="J271"/>
      <c r="K271"/>
      <c r="L271"/>
    </row>
    <row r="272" spans="2:12" s="2" customFormat="1" x14ac:dyDescent="0.25">
      <c r="B272" s="6"/>
      <c r="C272" s="7"/>
      <c r="D272"/>
      <c r="E272"/>
      <c r="F272"/>
      <c r="G272"/>
      <c r="H272"/>
      <c r="I272"/>
      <c r="J272"/>
      <c r="K272"/>
      <c r="L272"/>
    </row>
    <row r="273" spans="2:12" s="2" customFormat="1" x14ac:dyDescent="0.25">
      <c r="B273" s="6"/>
      <c r="C273" s="7"/>
      <c r="D273"/>
      <c r="E273"/>
      <c r="F273"/>
      <c r="G273"/>
      <c r="H273"/>
      <c r="I273"/>
      <c r="J273"/>
      <c r="K273"/>
      <c r="L273"/>
    </row>
    <row r="274" spans="2:12" s="2" customFormat="1" x14ac:dyDescent="0.25">
      <c r="B274" s="6"/>
      <c r="C274" s="7"/>
      <c r="D274"/>
      <c r="E274"/>
      <c r="F274"/>
      <c r="G274"/>
      <c r="H274"/>
      <c r="I274"/>
      <c r="J274"/>
      <c r="K274"/>
      <c r="L274"/>
    </row>
    <row r="275" spans="2:12" s="2" customFormat="1" x14ac:dyDescent="0.25">
      <c r="B275" s="6"/>
      <c r="C275" s="7"/>
      <c r="D275"/>
      <c r="E275"/>
      <c r="F275"/>
      <c r="G275"/>
      <c r="H275"/>
      <c r="I275"/>
      <c r="J275"/>
      <c r="K275"/>
      <c r="L275"/>
    </row>
    <row r="276" spans="2:12" s="2" customFormat="1" x14ac:dyDescent="0.25">
      <c r="B276" s="6"/>
      <c r="C276" s="7"/>
      <c r="D276"/>
      <c r="E276"/>
      <c r="F276"/>
      <c r="G276"/>
      <c r="H276"/>
      <c r="I276"/>
      <c r="J276"/>
      <c r="K276"/>
      <c r="L276"/>
    </row>
    <row r="277" spans="2:12" s="2" customFormat="1" x14ac:dyDescent="0.25">
      <c r="B277" s="6"/>
      <c r="C277" s="7"/>
      <c r="D277"/>
      <c r="E277"/>
      <c r="F277"/>
      <c r="G277"/>
      <c r="H277"/>
      <c r="I277"/>
      <c r="J277"/>
      <c r="K277"/>
      <c r="L277"/>
    </row>
    <row r="278" spans="2:12" s="2" customFormat="1" x14ac:dyDescent="0.25">
      <c r="B278" s="6"/>
      <c r="C278" s="7"/>
      <c r="D278"/>
      <c r="E278"/>
      <c r="F278"/>
      <c r="G278"/>
      <c r="H278"/>
      <c r="I278"/>
      <c r="J278"/>
      <c r="K278"/>
      <c r="L278"/>
    </row>
    <row r="279" spans="2:12" s="2" customFormat="1" x14ac:dyDescent="0.25">
      <c r="B279" s="6"/>
      <c r="C279" s="7"/>
      <c r="D279"/>
      <c r="E279"/>
      <c r="F279"/>
      <c r="G279"/>
      <c r="H279"/>
      <c r="I279"/>
      <c r="J279"/>
      <c r="K279"/>
      <c r="L279"/>
    </row>
    <row r="280" spans="2:12" s="2" customFormat="1" x14ac:dyDescent="0.25">
      <c r="B280" s="6"/>
      <c r="C280" s="7"/>
      <c r="D280"/>
      <c r="E280"/>
      <c r="F280"/>
      <c r="G280"/>
      <c r="H280"/>
      <c r="I280"/>
      <c r="J280"/>
      <c r="K280"/>
      <c r="L280"/>
    </row>
    <row r="281" spans="2:12" s="2" customFormat="1" x14ac:dyDescent="0.25">
      <c r="B281" s="6"/>
      <c r="C281" s="7"/>
      <c r="D281"/>
      <c r="E281"/>
      <c r="F281"/>
      <c r="G281"/>
      <c r="H281"/>
      <c r="I281"/>
      <c r="J281"/>
      <c r="K281"/>
      <c r="L281"/>
    </row>
    <row r="282" spans="2:12" s="2" customFormat="1" x14ac:dyDescent="0.25">
      <c r="B282" s="6"/>
      <c r="C282" s="7"/>
      <c r="D282"/>
      <c r="E282"/>
      <c r="F282"/>
      <c r="G282"/>
      <c r="H282"/>
      <c r="I282"/>
      <c r="J282"/>
      <c r="K282"/>
      <c r="L282"/>
    </row>
    <row r="283" spans="2:12" s="2" customFormat="1" x14ac:dyDescent="0.25">
      <c r="B283" s="6"/>
      <c r="C283" s="7"/>
      <c r="D283"/>
      <c r="E283"/>
      <c r="F283"/>
      <c r="G283"/>
      <c r="H283"/>
      <c r="I283"/>
      <c r="J283"/>
      <c r="K283"/>
      <c r="L283"/>
    </row>
    <row r="284" spans="2:12" s="2" customFormat="1" x14ac:dyDescent="0.25">
      <c r="B284" s="6"/>
      <c r="C284" s="7"/>
      <c r="D284"/>
      <c r="E284"/>
      <c r="F284"/>
      <c r="G284"/>
      <c r="H284"/>
      <c r="I284"/>
      <c r="J284"/>
      <c r="K284"/>
      <c r="L284"/>
    </row>
    <row r="285" spans="2:12" s="2" customFormat="1" x14ac:dyDescent="0.25">
      <c r="B285" s="6"/>
      <c r="C285" s="7"/>
      <c r="D285"/>
      <c r="E285"/>
      <c r="F285"/>
      <c r="G285"/>
      <c r="H285"/>
      <c r="I285"/>
      <c r="J285"/>
      <c r="K285"/>
      <c r="L285"/>
    </row>
    <row r="286" spans="2:12" s="2" customFormat="1" x14ac:dyDescent="0.25">
      <c r="B286" s="6"/>
      <c r="C286" s="7"/>
      <c r="D286"/>
      <c r="E286"/>
      <c r="F286"/>
      <c r="G286"/>
      <c r="H286"/>
      <c r="I286"/>
      <c r="J286"/>
      <c r="K286"/>
      <c r="L286"/>
    </row>
    <row r="287" spans="2:12" s="2" customFormat="1" x14ac:dyDescent="0.25">
      <c r="B287" s="6"/>
      <c r="C287" s="7"/>
      <c r="D287"/>
      <c r="E287"/>
      <c r="F287"/>
      <c r="G287"/>
      <c r="H287"/>
      <c r="I287"/>
      <c r="J287"/>
      <c r="K287"/>
      <c r="L287"/>
    </row>
    <row r="288" spans="2:12" s="2" customFormat="1" x14ac:dyDescent="0.25">
      <c r="B288" s="6"/>
      <c r="C288" s="7"/>
      <c r="D288"/>
      <c r="E288"/>
      <c r="F288"/>
      <c r="G288"/>
      <c r="H288"/>
      <c r="I288"/>
      <c r="J288"/>
      <c r="K288"/>
      <c r="L288"/>
    </row>
    <row r="289" spans="2:12" s="2" customFormat="1" x14ac:dyDescent="0.25">
      <c r="B289" s="6"/>
      <c r="C289" s="7"/>
      <c r="D289"/>
      <c r="E289"/>
      <c r="F289"/>
      <c r="G289"/>
      <c r="H289"/>
      <c r="I289"/>
      <c r="J289"/>
      <c r="K289"/>
      <c r="L289"/>
    </row>
    <row r="290" spans="2:12" s="2" customFormat="1" x14ac:dyDescent="0.25">
      <c r="B290" s="6"/>
      <c r="C290" s="7"/>
      <c r="D290"/>
      <c r="E290"/>
      <c r="F290"/>
      <c r="G290"/>
      <c r="H290"/>
      <c r="I290"/>
      <c r="J290"/>
      <c r="K290"/>
      <c r="L290"/>
    </row>
    <row r="291" spans="2:12" s="2" customFormat="1" x14ac:dyDescent="0.25">
      <c r="B291" s="6"/>
      <c r="C291" s="7"/>
      <c r="D291"/>
      <c r="E291"/>
      <c r="F291"/>
      <c r="G291"/>
      <c r="H291"/>
      <c r="I291"/>
      <c r="J291"/>
      <c r="K291"/>
      <c r="L291"/>
    </row>
    <row r="292" spans="2:12" s="2" customFormat="1" x14ac:dyDescent="0.25">
      <c r="B292" s="6"/>
      <c r="C292" s="7"/>
      <c r="D292"/>
      <c r="E292"/>
      <c r="F292"/>
      <c r="G292"/>
      <c r="H292"/>
      <c r="I292"/>
      <c r="J292"/>
      <c r="K292"/>
      <c r="L292"/>
    </row>
    <row r="293" spans="2:12" s="2" customFormat="1" x14ac:dyDescent="0.25">
      <c r="B293" s="6"/>
      <c r="C293" s="7"/>
      <c r="D293"/>
      <c r="E293"/>
      <c r="F293"/>
      <c r="G293"/>
      <c r="H293"/>
      <c r="I293"/>
      <c r="J293"/>
      <c r="K293"/>
      <c r="L293"/>
    </row>
    <row r="294" spans="2:12" s="2" customFormat="1" x14ac:dyDescent="0.25">
      <c r="B294" s="6"/>
      <c r="C294" s="7"/>
      <c r="D294"/>
      <c r="E294"/>
      <c r="F294"/>
      <c r="G294"/>
      <c r="H294"/>
      <c r="I294"/>
      <c r="J294"/>
      <c r="K294"/>
      <c r="L294"/>
    </row>
    <row r="295" spans="2:12" s="2" customFormat="1" x14ac:dyDescent="0.25">
      <c r="B295" s="6"/>
      <c r="C295" s="7"/>
      <c r="D295"/>
      <c r="E295"/>
      <c r="F295"/>
      <c r="G295"/>
      <c r="H295"/>
      <c r="I295"/>
      <c r="J295"/>
      <c r="K295"/>
      <c r="L295"/>
    </row>
    <row r="296" spans="2:12" s="2" customFormat="1" x14ac:dyDescent="0.25">
      <c r="B296" s="6"/>
      <c r="C296" s="7"/>
      <c r="D296"/>
      <c r="E296"/>
      <c r="F296"/>
      <c r="G296"/>
      <c r="H296"/>
      <c r="I296"/>
      <c r="J296"/>
      <c r="K296"/>
      <c r="L296"/>
    </row>
    <row r="297" spans="2:12" s="2" customFormat="1" x14ac:dyDescent="0.25">
      <c r="B297" s="6"/>
      <c r="C297" s="7"/>
      <c r="D297"/>
      <c r="E297"/>
      <c r="F297"/>
      <c r="G297"/>
      <c r="H297"/>
      <c r="I297"/>
      <c r="J297"/>
      <c r="K297"/>
      <c r="L297"/>
    </row>
    <row r="298" spans="2:12" s="2" customFormat="1" x14ac:dyDescent="0.25">
      <c r="B298" s="6"/>
      <c r="C298" s="7"/>
      <c r="D298"/>
      <c r="E298"/>
      <c r="F298"/>
      <c r="G298"/>
      <c r="H298"/>
      <c r="I298"/>
      <c r="J298"/>
      <c r="K298"/>
      <c r="L298"/>
    </row>
    <row r="299" spans="2:12" s="2" customFormat="1" x14ac:dyDescent="0.25">
      <c r="B299" s="6"/>
      <c r="C299" s="7"/>
      <c r="D299"/>
      <c r="E299"/>
      <c r="F299"/>
      <c r="G299"/>
      <c r="H299"/>
      <c r="I299"/>
      <c r="J299"/>
      <c r="K299"/>
      <c r="L299"/>
    </row>
    <row r="300" spans="2:12" s="2" customFormat="1" x14ac:dyDescent="0.25">
      <c r="B300" s="6"/>
      <c r="C300" s="7"/>
      <c r="D300"/>
      <c r="E300"/>
      <c r="F300"/>
      <c r="G300"/>
      <c r="H300"/>
      <c r="I300"/>
      <c r="J300"/>
      <c r="K300"/>
      <c r="L300"/>
    </row>
    <row r="301" spans="2:12" s="2" customFormat="1" x14ac:dyDescent="0.25">
      <c r="B301" s="6"/>
      <c r="C301" s="7"/>
      <c r="D301"/>
      <c r="E301"/>
      <c r="F301"/>
      <c r="G301"/>
      <c r="H301"/>
      <c r="I301"/>
      <c r="J301"/>
      <c r="K301"/>
      <c r="L301"/>
    </row>
    <row r="302" spans="2:12" s="2" customFormat="1" x14ac:dyDescent="0.25">
      <c r="B302" s="6"/>
      <c r="C302" s="7"/>
      <c r="D302"/>
      <c r="E302"/>
      <c r="F302"/>
      <c r="G302"/>
      <c r="H302"/>
      <c r="I302"/>
      <c r="J302"/>
      <c r="K302"/>
      <c r="L302"/>
    </row>
    <row r="303" spans="2:12" s="2" customFormat="1" x14ac:dyDescent="0.25">
      <c r="B303" s="6"/>
      <c r="C303" s="7"/>
      <c r="D303"/>
      <c r="E303"/>
      <c r="F303"/>
      <c r="G303"/>
      <c r="H303"/>
      <c r="I303"/>
      <c r="J303"/>
      <c r="K303"/>
      <c r="L303"/>
    </row>
    <row r="304" spans="2:12" s="2" customFormat="1" x14ac:dyDescent="0.25">
      <c r="B304" s="6"/>
      <c r="C304" s="7"/>
      <c r="D304"/>
      <c r="E304"/>
      <c r="F304"/>
      <c r="G304"/>
      <c r="H304"/>
      <c r="I304"/>
      <c r="J304"/>
      <c r="K304"/>
      <c r="L304"/>
    </row>
    <row r="305" spans="2:12" s="2" customFormat="1" x14ac:dyDescent="0.25">
      <c r="B305" s="6"/>
      <c r="C305" s="7"/>
      <c r="D305"/>
      <c r="E305"/>
      <c r="F305"/>
      <c r="G305"/>
      <c r="H305"/>
      <c r="I305"/>
      <c r="J305"/>
      <c r="K305"/>
      <c r="L305"/>
    </row>
    <row r="306" spans="2:12" s="2" customFormat="1" x14ac:dyDescent="0.25">
      <c r="B306" s="6"/>
      <c r="C306" s="7"/>
      <c r="D306"/>
      <c r="E306"/>
      <c r="F306"/>
      <c r="G306"/>
      <c r="H306"/>
      <c r="I306"/>
      <c r="J306"/>
      <c r="K306"/>
      <c r="L306"/>
    </row>
    <row r="307" spans="2:12" s="2" customFormat="1" x14ac:dyDescent="0.25">
      <c r="B307" s="6"/>
      <c r="C307" s="7"/>
      <c r="D307"/>
      <c r="E307"/>
      <c r="F307"/>
      <c r="G307"/>
      <c r="H307"/>
      <c r="I307"/>
      <c r="J307"/>
      <c r="K307"/>
      <c r="L307"/>
    </row>
    <row r="308" spans="2:12" s="2" customFormat="1" x14ac:dyDescent="0.25">
      <c r="B308" s="6"/>
      <c r="C308" s="7"/>
      <c r="D308"/>
      <c r="E308"/>
      <c r="F308"/>
      <c r="G308"/>
      <c r="H308"/>
      <c r="I308"/>
      <c r="J308"/>
      <c r="K308"/>
      <c r="L308"/>
    </row>
    <row r="309" spans="2:12" s="2" customFormat="1" x14ac:dyDescent="0.25">
      <c r="B309" s="6"/>
      <c r="C309" s="7"/>
      <c r="D309"/>
      <c r="E309"/>
      <c r="F309"/>
      <c r="G309"/>
      <c r="H309"/>
      <c r="I309"/>
      <c r="J309"/>
      <c r="K309"/>
      <c r="L309"/>
    </row>
    <row r="310" spans="2:12" s="2" customFormat="1" x14ac:dyDescent="0.25">
      <c r="B310" s="6"/>
      <c r="C310" s="7"/>
      <c r="D310"/>
      <c r="E310"/>
      <c r="F310"/>
      <c r="G310"/>
      <c r="H310"/>
      <c r="I310"/>
      <c r="J310"/>
      <c r="K310"/>
      <c r="L310"/>
    </row>
    <row r="311" spans="2:12" s="2" customFormat="1" x14ac:dyDescent="0.25">
      <c r="B311" s="6"/>
      <c r="C311" s="7"/>
      <c r="D311"/>
      <c r="E311"/>
      <c r="F311"/>
      <c r="G311"/>
      <c r="H311"/>
      <c r="I311"/>
      <c r="J311"/>
      <c r="K311"/>
      <c r="L311"/>
    </row>
    <row r="312" spans="2:12" s="2" customFormat="1" x14ac:dyDescent="0.25">
      <c r="B312" s="6"/>
      <c r="C312" s="7"/>
      <c r="D312"/>
      <c r="E312"/>
      <c r="F312"/>
      <c r="G312"/>
      <c r="H312"/>
      <c r="I312"/>
      <c r="J312"/>
      <c r="K312"/>
      <c r="L312"/>
    </row>
    <row r="313" spans="2:12" s="2" customFormat="1" x14ac:dyDescent="0.25">
      <c r="B313" s="6"/>
      <c r="C313" s="7"/>
      <c r="D313"/>
      <c r="E313"/>
      <c r="F313"/>
      <c r="G313"/>
      <c r="H313"/>
      <c r="I313"/>
      <c r="J313"/>
      <c r="K313"/>
      <c r="L313"/>
    </row>
    <row r="314" spans="2:12" s="2" customFormat="1" x14ac:dyDescent="0.25">
      <c r="B314" s="6"/>
      <c r="C314" s="7"/>
      <c r="D314"/>
      <c r="E314"/>
      <c r="F314"/>
      <c r="G314"/>
      <c r="H314"/>
      <c r="I314"/>
      <c r="J314"/>
      <c r="K314"/>
      <c r="L314"/>
    </row>
    <row r="315" spans="2:12" s="2" customFormat="1" x14ac:dyDescent="0.25">
      <c r="B315" s="6"/>
      <c r="C315" s="7"/>
      <c r="D315"/>
      <c r="E315"/>
      <c r="F315"/>
      <c r="G315"/>
      <c r="H315"/>
      <c r="I315"/>
      <c r="J315"/>
      <c r="K315"/>
      <c r="L315"/>
    </row>
    <row r="316" spans="2:12" s="2" customFormat="1" x14ac:dyDescent="0.25">
      <c r="B316" s="6"/>
      <c r="C316" s="7"/>
      <c r="D316"/>
      <c r="E316"/>
      <c r="F316"/>
      <c r="G316"/>
      <c r="H316"/>
      <c r="I316"/>
      <c r="J316"/>
      <c r="K316"/>
      <c r="L316"/>
    </row>
    <row r="317" spans="2:12" s="2" customFormat="1" x14ac:dyDescent="0.25">
      <c r="B317" s="6"/>
      <c r="C317" s="7"/>
      <c r="D317"/>
      <c r="E317"/>
      <c r="F317"/>
      <c r="G317"/>
      <c r="H317"/>
      <c r="I317"/>
      <c r="J317"/>
      <c r="K317"/>
      <c r="L317"/>
    </row>
    <row r="318" spans="2:12" s="2" customFormat="1" x14ac:dyDescent="0.25">
      <c r="B318" s="6"/>
      <c r="C318" s="7"/>
      <c r="D318"/>
      <c r="E318"/>
      <c r="F318"/>
      <c r="G318"/>
      <c r="H318"/>
      <c r="I318"/>
      <c r="J318"/>
      <c r="K318"/>
      <c r="L318"/>
    </row>
    <row r="319" spans="2:12" s="2" customFormat="1" x14ac:dyDescent="0.25">
      <c r="B319" s="6"/>
      <c r="C319" s="7"/>
      <c r="D319"/>
      <c r="E319"/>
      <c r="F319"/>
      <c r="G319"/>
      <c r="H319"/>
      <c r="I319"/>
      <c r="J319"/>
      <c r="K319"/>
      <c r="L319"/>
    </row>
    <row r="320" spans="2:12" s="2" customFormat="1" x14ac:dyDescent="0.25">
      <c r="B320" s="6"/>
      <c r="C320" s="7"/>
      <c r="D320"/>
      <c r="E320"/>
      <c r="F320"/>
      <c r="G320"/>
      <c r="H320"/>
      <c r="I320"/>
      <c r="J320"/>
      <c r="K320"/>
      <c r="L320"/>
    </row>
    <row r="321" spans="2:12" s="2" customFormat="1" x14ac:dyDescent="0.25">
      <c r="B321" s="6"/>
      <c r="C321" s="7"/>
      <c r="D321"/>
      <c r="E321"/>
      <c r="F321"/>
      <c r="G321"/>
      <c r="H321"/>
      <c r="I321"/>
      <c r="J321"/>
      <c r="K321"/>
      <c r="L321"/>
    </row>
    <row r="322" spans="2:12" s="2" customFormat="1" x14ac:dyDescent="0.25">
      <c r="B322" s="6"/>
      <c r="C322" s="7"/>
      <c r="D322"/>
      <c r="E322"/>
      <c r="F322"/>
      <c r="G322"/>
      <c r="H322"/>
      <c r="I322"/>
      <c r="J322"/>
      <c r="K322"/>
      <c r="L322"/>
    </row>
    <row r="323" spans="2:12" s="2" customFormat="1" x14ac:dyDescent="0.25">
      <c r="B323" s="6"/>
      <c r="C323" s="7"/>
      <c r="D323"/>
      <c r="E323"/>
      <c r="F323"/>
      <c r="G323"/>
      <c r="H323"/>
      <c r="I323"/>
      <c r="J323"/>
      <c r="K323"/>
      <c r="L323"/>
    </row>
    <row r="324" spans="2:12" s="2" customFormat="1" x14ac:dyDescent="0.25">
      <c r="B324" s="6"/>
      <c r="C324" s="7"/>
      <c r="D324"/>
      <c r="E324"/>
      <c r="F324"/>
      <c r="G324"/>
      <c r="H324"/>
      <c r="I324"/>
      <c r="J324"/>
      <c r="K324"/>
      <c r="L324"/>
    </row>
    <row r="325" spans="2:12" s="2" customFormat="1" x14ac:dyDescent="0.25">
      <c r="B325" s="6"/>
      <c r="C325" s="7"/>
      <c r="D325"/>
      <c r="E325"/>
      <c r="F325"/>
      <c r="G325"/>
      <c r="H325"/>
      <c r="I325"/>
      <c r="J325"/>
      <c r="K325"/>
      <c r="L325"/>
    </row>
    <row r="326" spans="2:12" s="2" customFormat="1" x14ac:dyDescent="0.25">
      <c r="B326" s="6"/>
      <c r="C326" s="7"/>
      <c r="D326"/>
      <c r="E326"/>
      <c r="F326"/>
      <c r="G326"/>
      <c r="H326"/>
      <c r="I326"/>
      <c r="J326"/>
      <c r="K326"/>
      <c r="L326"/>
    </row>
    <row r="327" spans="2:12" s="2" customFormat="1" x14ac:dyDescent="0.25">
      <c r="B327" s="6"/>
      <c r="C327" s="7"/>
      <c r="D327"/>
      <c r="E327"/>
      <c r="F327"/>
      <c r="G327"/>
      <c r="H327"/>
      <c r="I327"/>
      <c r="J327"/>
      <c r="K327"/>
      <c r="L327"/>
    </row>
    <row r="328" spans="2:12" s="2" customFormat="1" x14ac:dyDescent="0.25">
      <c r="B328" s="6"/>
      <c r="C328" s="7"/>
      <c r="D328"/>
      <c r="E328"/>
      <c r="F328"/>
      <c r="G328"/>
      <c r="H328"/>
      <c r="I328"/>
      <c r="J328"/>
      <c r="K328"/>
      <c r="L328"/>
    </row>
    <row r="329" spans="2:12" s="2" customFormat="1" x14ac:dyDescent="0.25">
      <c r="B329" s="6"/>
      <c r="C329" s="7"/>
      <c r="D329"/>
      <c r="E329"/>
      <c r="F329"/>
      <c r="G329"/>
      <c r="H329"/>
      <c r="I329"/>
      <c r="J329"/>
      <c r="K329"/>
      <c r="L329"/>
    </row>
    <row r="330" spans="2:12" s="2" customFormat="1" x14ac:dyDescent="0.25">
      <c r="B330" s="6"/>
      <c r="C330" s="7"/>
      <c r="D330"/>
      <c r="E330"/>
      <c r="F330"/>
      <c r="G330"/>
      <c r="H330"/>
      <c r="I330"/>
      <c r="J330"/>
      <c r="K330"/>
      <c r="L330"/>
    </row>
    <row r="331" spans="2:12" s="2" customFormat="1" x14ac:dyDescent="0.25">
      <c r="B331" s="6"/>
      <c r="C331" s="7"/>
      <c r="D331"/>
      <c r="E331"/>
      <c r="F331"/>
      <c r="G331"/>
      <c r="H331"/>
      <c r="I331"/>
      <c r="J331"/>
      <c r="K331"/>
      <c r="L331"/>
    </row>
    <row r="332" spans="2:12" s="2" customFormat="1" x14ac:dyDescent="0.25">
      <c r="B332" s="6"/>
      <c r="C332" s="7"/>
      <c r="D332"/>
      <c r="E332"/>
      <c r="F332"/>
      <c r="G332"/>
      <c r="H332"/>
      <c r="I332"/>
      <c r="J332"/>
      <c r="K332"/>
      <c r="L332"/>
    </row>
    <row r="333" spans="2:12" s="2" customFormat="1" x14ac:dyDescent="0.25">
      <c r="B333" s="6"/>
      <c r="C333" s="7"/>
      <c r="D333"/>
      <c r="E333"/>
      <c r="F333"/>
      <c r="G333"/>
      <c r="H333"/>
      <c r="I333"/>
      <c r="J333"/>
      <c r="K333"/>
      <c r="L333"/>
    </row>
    <row r="334" spans="2:12" s="2" customFormat="1" x14ac:dyDescent="0.25">
      <c r="B334" s="6"/>
      <c r="C334" s="7"/>
      <c r="D334"/>
      <c r="E334"/>
      <c r="F334"/>
      <c r="G334"/>
      <c r="H334"/>
      <c r="I334"/>
      <c r="J334"/>
      <c r="K334"/>
      <c r="L334"/>
    </row>
    <row r="335" spans="2:12" s="2" customFormat="1" x14ac:dyDescent="0.25">
      <c r="B335" s="6"/>
      <c r="C335" s="7"/>
      <c r="D335"/>
      <c r="E335"/>
      <c r="F335"/>
      <c r="G335"/>
      <c r="H335"/>
      <c r="I335"/>
      <c r="J335"/>
      <c r="K335"/>
      <c r="L335"/>
    </row>
    <row r="336" spans="2:12" s="2" customFormat="1" x14ac:dyDescent="0.25">
      <c r="B336" s="6"/>
      <c r="C336" s="7"/>
      <c r="D336"/>
      <c r="E336"/>
      <c r="F336"/>
      <c r="G336"/>
      <c r="H336"/>
      <c r="I336"/>
      <c r="J336"/>
      <c r="K336"/>
      <c r="L336"/>
    </row>
    <row r="337" spans="2:12" s="2" customFormat="1" x14ac:dyDescent="0.25">
      <c r="B337" s="6"/>
      <c r="C337" s="7"/>
      <c r="D337"/>
      <c r="E337"/>
      <c r="F337"/>
      <c r="G337"/>
      <c r="H337"/>
      <c r="I337"/>
      <c r="J337"/>
      <c r="K337"/>
      <c r="L337"/>
    </row>
    <row r="338" spans="2:12" s="2" customFormat="1" x14ac:dyDescent="0.25">
      <c r="B338" s="6"/>
      <c r="C338" s="7"/>
      <c r="D338"/>
      <c r="E338"/>
      <c r="F338"/>
      <c r="G338"/>
      <c r="H338"/>
      <c r="I338"/>
      <c r="J338"/>
      <c r="K338"/>
      <c r="L338"/>
    </row>
    <row r="339" spans="2:12" s="2" customFormat="1" x14ac:dyDescent="0.25">
      <c r="B339" s="6"/>
      <c r="C339" s="7"/>
      <c r="D339"/>
      <c r="E339"/>
      <c r="F339"/>
      <c r="G339"/>
      <c r="H339"/>
      <c r="I339"/>
      <c r="J339"/>
      <c r="K339"/>
      <c r="L339"/>
    </row>
    <row r="340" spans="2:12" s="2" customFormat="1" x14ac:dyDescent="0.25">
      <c r="B340" s="6"/>
      <c r="C340" s="7"/>
      <c r="D340"/>
      <c r="E340"/>
      <c r="F340"/>
      <c r="G340"/>
      <c r="H340"/>
      <c r="I340"/>
      <c r="J340"/>
      <c r="K340"/>
      <c r="L340"/>
    </row>
    <row r="341" spans="2:12" s="2" customFormat="1" x14ac:dyDescent="0.25">
      <c r="B341" s="6"/>
      <c r="C341" s="7"/>
      <c r="D341"/>
      <c r="E341"/>
      <c r="F341"/>
      <c r="G341"/>
      <c r="H341"/>
      <c r="I341"/>
      <c r="J341"/>
      <c r="K341"/>
      <c r="L341"/>
    </row>
    <row r="342" spans="2:12" s="2" customFormat="1" x14ac:dyDescent="0.25">
      <c r="B342" s="6"/>
      <c r="C342" s="7"/>
      <c r="D342"/>
      <c r="E342"/>
      <c r="F342"/>
      <c r="G342"/>
      <c r="H342"/>
      <c r="I342"/>
      <c r="J342"/>
      <c r="K342"/>
      <c r="L342"/>
    </row>
    <row r="343" spans="2:12" s="2" customFormat="1" x14ac:dyDescent="0.25">
      <c r="B343" s="6"/>
      <c r="C343" s="7"/>
      <c r="D343"/>
      <c r="E343"/>
      <c r="F343"/>
      <c r="G343"/>
      <c r="H343"/>
      <c r="I343"/>
      <c r="J343"/>
      <c r="K343"/>
      <c r="L343"/>
    </row>
    <row r="344" spans="2:12" s="2" customFormat="1" x14ac:dyDescent="0.25">
      <c r="B344" s="6"/>
      <c r="C344" s="7"/>
      <c r="D344"/>
      <c r="E344"/>
      <c r="F344"/>
      <c r="G344"/>
      <c r="H344"/>
      <c r="I344"/>
      <c r="J344"/>
      <c r="K344"/>
      <c r="L344"/>
    </row>
    <row r="345" spans="2:12" s="2" customFormat="1" x14ac:dyDescent="0.25">
      <c r="B345" s="6"/>
      <c r="C345" s="7"/>
      <c r="D345"/>
      <c r="E345"/>
      <c r="F345"/>
      <c r="G345"/>
      <c r="H345"/>
      <c r="I345"/>
      <c r="J345"/>
      <c r="K345"/>
      <c r="L345"/>
    </row>
    <row r="346" spans="2:12" s="2" customFormat="1" x14ac:dyDescent="0.25">
      <c r="B346" s="6"/>
      <c r="C346" s="7"/>
      <c r="D346"/>
      <c r="E346"/>
      <c r="F346"/>
      <c r="G346"/>
      <c r="H346"/>
      <c r="I346"/>
      <c r="J346"/>
      <c r="K346"/>
      <c r="L346"/>
    </row>
    <row r="347" spans="2:12" s="2" customFormat="1" x14ac:dyDescent="0.25">
      <c r="B347" s="6"/>
      <c r="C347" s="7"/>
      <c r="D347"/>
      <c r="E347"/>
      <c r="F347"/>
      <c r="G347"/>
      <c r="H347"/>
      <c r="I347"/>
      <c r="J347"/>
      <c r="K347"/>
      <c r="L347"/>
    </row>
    <row r="348" spans="2:12" s="2" customFormat="1" x14ac:dyDescent="0.25">
      <c r="B348" s="6"/>
      <c r="C348" s="7"/>
      <c r="D348"/>
      <c r="E348"/>
      <c r="F348"/>
      <c r="G348"/>
      <c r="H348"/>
      <c r="I348"/>
      <c r="J348"/>
      <c r="K348"/>
      <c r="L348"/>
    </row>
    <row r="349" spans="2:12" s="2" customFormat="1" x14ac:dyDescent="0.25">
      <c r="B349" s="6"/>
      <c r="C349" s="7"/>
      <c r="D349"/>
      <c r="E349"/>
      <c r="F349"/>
      <c r="G349"/>
      <c r="H349"/>
      <c r="I349"/>
      <c r="J349"/>
      <c r="K349"/>
      <c r="L349"/>
    </row>
    <row r="350" spans="2:12" s="2" customFormat="1" x14ac:dyDescent="0.25">
      <c r="B350" s="6"/>
      <c r="C350" s="7"/>
      <c r="D350"/>
      <c r="E350"/>
      <c r="F350"/>
      <c r="G350"/>
      <c r="H350"/>
      <c r="I350"/>
      <c r="J350"/>
      <c r="K350"/>
      <c r="L350"/>
    </row>
    <row r="351" spans="2:12" s="2" customFormat="1" x14ac:dyDescent="0.25">
      <c r="B351" s="6"/>
      <c r="C351" s="7"/>
      <c r="D351"/>
      <c r="E351"/>
      <c r="F351"/>
      <c r="G351"/>
      <c r="H351"/>
      <c r="I351"/>
      <c r="J351"/>
      <c r="K351"/>
      <c r="L351"/>
    </row>
    <row r="352" spans="2:12" s="2" customFormat="1" x14ac:dyDescent="0.25">
      <c r="B352" s="6"/>
      <c r="C352" s="7"/>
      <c r="D352"/>
      <c r="E352"/>
      <c r="F352"/>
      <c r="G352"/>
      <c r="H352"/>
      <c r="I352"/>
      <c r="J352"/>
      <c r="K352"/>
      <c r="L352"/>
    </row>
    <row r="353" spans="2:12" s="2" customFormat="1" x14ac:dyDescent="0.25">
      <c r="B353" s="6"/>
      <c r="C353" s="7"/>
      <c r="D353"/>
      <c r="E353"/>
      <c r="F353"/>
      <c r="G353"/>
      <c r="H353"/>
      <c r="I353"/>
      <c r="J353"/>
      <c r="K353"/>
      <c r="L353"/>
    </row>
    <row r="354" spans="2:12" s="2" customFormat="1" x14ac:dyDescent="0.25">
      <c r="B354" s="6"/>
      <c r="C354" s="7"/>
      <c r="D354"/>
      <c r="E354"/>
      <c r="F354"/>
      <c r="G354"/>
      <c r="H354"/>
      <c r="I354"/>
      <c r="J354"/>
      <c r="K354"/>
      <c r="L354"/>
    </row>
    <row r="355" spans="2:12" s="2" customFormat="1" x14ac:dyDescent="0.25">
      <c r="B355" s="6"/>
      <c r="C355" s="7"/>
      <c r="D355"/>
      <c r="E355"/>
      <c r="F355"/>
      <c r="G355"/>
      <c r="H355"/>
      <c r="I355"/>
      <c r="J355"/>
      <c r="K355"/>
      <c r="L355"/>
    </row>
    <row r="356" spans="2:12" s="2" customFormat="1" x14ac:dyDescent="0.25">
      <c r="B356" s="6"/>
      <c r="C356" s="7"/>
      <c r="D356"/>
      <c r="E356"/>
      <c r="F356"/>
      <c r="G356"/>
      <c r="H356"/>
      <c r="I356"/>
      <c r="J356"/>
      <c r="K356"/>
      <c r="L356"/>
    </row>
    <row r="357" spans="2:12" s="2" customFormat="1" x14ac:dyDescent="0.25">
      <c r="B357" s="6"/>
      <c r="C357" s="7"/>
      <c r="D357"/>
      <c r="E357"/>
      <c r="F357"/>
      <c r="G357"/>
      <c r="H357"/>
      <c r="I357"/>
      <c r="J357"/>
      <c r="K357"/>
      <c r="L357"/>
    </row>
    <row r="358" spans="2:12" s="2" customFormat="1" x14ac:dyDescent="0.25">
      <c r="B358" s="6"/>
      <c r="C358" s="7"/>
      <c r="D358"/>
      <c r="E358"/>
      <c r="F358"/>
      <c r="G358"/>
      <c r="H358"/>
      <c r="I358"/>
      <c r="J358"/>
      <c r="K358"/>
      <c r="L358"/>
    </row>
    <row r="359" spans="2:12" s="2" customFormat="1" x14ac:dyDescent="0.25">
      <c r="B359" s="6"/>
      <c r="C359" s="7"/>
      <c r="D359"/>
      <c r="E359"/>
      <c r="F359"/>
      <c r="G359"/>
      <c r="H359"/>
      <c r="I359"/>
      <c r="J359"/>
      <c r="K359"/>
      <c r="L359"/>
    </row>
    <row r="360" spans="2:12" s="2" customFormat="1" x14ac:dyDescent="0.25">
      <c r="B360" s="6"/>
      <c r="C360" s="7"/>
      <c r="D360"/>
      <c r="E360"/>
      <c r="F360"/>
      <c r="G360"/>
      <c r="H360"/>
      <c r="I360"/>
      <c r="J360"/>
      <c r="K360"/>
      <c r="L360"/>
    </row>
    <row r="361" spans="2:12" s="2" customFormat="1" x14ac:dyDescent="0.25">
      <c r="B361" s="6"/>
      <c r="C361" s="7"/>
      <c r="D361"/>
      <c r="E361"/>
      <c r="F361"/>
      <c r="G361"/>
      <c r="H361"/>
      <c r="I361"/>
      <c r="J361"/>
      <c r="K361"/>
      <c r="L361"/>
    </row>
    <row r="362" spans="2:12" s="2" customFormat="1" x14ac:dyDescent="0.25">
      <c r="B362" s="6"/>
      <c r="C362" s="7"/>
      <c r="D362"/>
      <c r="E362"/>
      <c r="F362"/>
      <c r="G362"/>
      <c r="H362"/>
      <c r="I362"/>
      <c r="J362"/>
      <c r="K362"/>
      <c r="L362"/>
    </row>
    <row r="363" spans="2:12" s="2" customFormat="1" x14ac:dyDescent="0.25">
      <c r="B363" s="6"/>
      <c r="C363" s="7"/>
      <c r="D363"/>
      <c r="E363"/>
      <c r="F363"/>
      <c r="G363"/>
      <c r="H363"/>
      <c r="I363"/>
      <c r="J363"/>
      <c r="K363"/>
      <c r="L363"/>
    </row>
    <row r="364" spans="2:12" s="2" customFormat="1" x14ac:dyDescent="0.25">
      <c r="B364" s="6"/>
      <c r="C364" s="7"/>
      <c r="D364"/>
      <c r="E364"/>
      <c r="F364"/>
      <c r="G364"/>
      <c r="H364"/>
      <c r="I364"/>
      <c r="J364"/>
      <c r="K364"/>
      <c r="L364"/>
    </row>
    <row r="365" spans="2:12" s="2" customFormat="1" x14ac:dyDescent="0.25">
      <c r="B365" s="6"/>
      <c r="C365" s="7"/>
      <c r="D365"/>
      <c r="E365"/>
      <c r="F365"/>
      <c r="G365"/>
      <c r="H365"/>
      <c r="I365"/>
      <c r="J365"/>
      <c r="K365"/>
      <c r="L365"/>
    </row>
    <row r="366" spans="2:12" s="2" customFormat="1" x14ac:dyDescent="0.25">
      <c r="B366" s="6"/>
      <c r="C366" s="7"/>
      <c r="D366"/>
      <c r="E366"/>
      <c r="F366"/>
      <c r="G366"/>
      <c r="H366"/>
      <c r="I366"/>
      <c r="J366"/>
      <c r="K366"/>
      <c r="L366"/>
    </row>
    <row r="367" spans="2:12" s="2" customFormat="1" x14ac:dyDescent="0.25">
      <c r="B367" s="6"/>
      <c r="C367" s="7"/>
      <c r="D367"/>
      <c r="E367"/>
      <c r="F367"/>
      <c r="G367"/>
      <c r="H367"/>
      <c r="I367"/>
      <c r="J367"/>
      <c r="K367"/>
      <c r="L367"/>
    </row>
    <row r="368" spans="2:12" s="2" customFormat="1" x14ac:dyDescent="0.25">
      <c r="B368" s="6"/>
      <c r="C368" s="7"/>
      <c r="D368"/>
      <c r="E368"/>
      <c r="F368"/>
      <c r="G368"/>
      <c r="H368"/>
      <c r="I368"/>
      <c r="J368"/>
      <c r="K368"/>
      <c r="L368"/>
    </row>
    <row r="369" spans="2:12" s="2" customFormat="1" x14ac:dyDescent="0.25">
      <c r="B369" s="6"/>
      <c r="C369" s="7"/>
      <c r="D369"/>
      <c r="E369"/>
      <c r="F369"/>
      <c r="G369"/>
      <c r="H369"/>
      <c r="I369"/>
      <c r="J369"/>
      <c r="K369"/>
      <c r="L369"/>
    </row>
    <row r="370" spans="2:12" s="2" customFormat="1" x14ac:dyDescent="0.25">
      <c r="B370" s="6"/>
      <c r="C370" s="7"/>
      <c r="D370"/>
      <c r="E370"/>
      <c r="F370"/>
      <c r="G370"/>
      <c r="H370"/>
      <c r="I370"/>
      <c r="J370"/>
      <c r="K370"/>
      <c r="L370"/>
    </row>
    <row r="371" spans="2:12" s="2" customFormat="1" x14ac:dyDescent="0.25">
      <c r="B371" s="6"/>
      <c r="C371" s="7"/>
      <c r="D371"/>
      <c r="E371"/>
      <c r="F371"/>
      <c r="G371"/>
      <c r="H371"/>
      <c r="I371"/>
      <c r="J371"/>
      <c r="K371"/>
      <c r="L371"/>
    </row>
    <row r="372" spans="2:12" s="2" customFormat="1" x14ac:dyDescent="0.25">
      <c r="B372" s="6"/>
      <c r="C372" s="7"/>
      <c r="D372"/>
      <c r="E372"/>
      <c r="F372"/>
      <c r="G372"/>
      <c r="H372"/>
      <c r="I372"/>
      <c r="J372"/>
      <c r="K372"/>
      <c r="L372"/>
    </row>
    <row r="373" spans="2:12" s="2" customFormat="1" x14ac:dyDescent="0.25">
      <c r="B373" s="6"/>
      <c r="C373" s="7"/>
      <c r="D373"/>
      <c r="E373"/>
      <c r="F373"/>
      <c r="G373"/>
      <c r="H373"/>
      <c r="I373"/>
      <c r="J373"/>
      <c r="K373"/>
      <c r="L373"/>
    </row>
    <row r="374" spans="2:12" s="2" customFormat="1" x14ac:dyDescent="0.25">
      <c r="B374" s="6"/>
      <c r="C374" s="7"/>
      <c r="D374"/>
      <c r="E374"/>
      <c r="F374"/>
      <c r="G374"/>
      <c r="H374"/>
      <c r="I374"/>
      <c r="J374"/>
      <c r="K374"/>
      <c r="L374"/>
    </row>
    <row r="375" spans="2:12" s="2" customFormat="1" x14ac:dyDescent="0.25">
      <c r="B375" s="6"/>
      <c r="C375" s="7"/>
      <c r="D375"/>
      <c r="E375"/>
      <c r="F375"/>
      <c r="G375"/>
      <c r="H375"/>
      <c r="I375"/>
      <c r="J375"/>
      <c r="K375"/>
      <c r="L375"/>
    </row>
    <row r="376" spans="2:12" s="2" customFormat="1" x14ac:dyDescent="0.25">
      <c r="B376" s="6"/>
      <c r="C376" s="7"/>
      <c r="D376"/>
      <c r="E376"/>
      <c r="F376"/>
      <c r="G376"/>
      <c r="H376"/>
      <c r="I376"/>
      <c r="J376"/>
      <c r="K376"/>
      <c r="L376"/>
    </row>
    <row r="377" spans="2:12" s="2" customFormat="1" x14ac:dyDescent="0.25">
      <c r="B377" s="6"/>
      <c r="C377" s="7"/>
      <c r="D377"/>
      <c r="E377"/>
      <c r="F377"/>
      <c r="G377"/>
      <c r="H377"/>
      <c r="I377"/>
      <c r="J377"/>
      <c r="K377"/>
      <c r="L377"/>
    </row>
    <row r="378" spans="2:12" s="2" customFormat="1" x14ac:dyDescent="0.25">
      <c r="B378" s="6"/>
      <c r="C378" s="7"/>
      <c r="D378"/>
      <c r="E378"/>
      <c r="F378"/>
      <c r="G378"/>
      <c r="H378"/>
      <c r="I378"/>
      <c r="J378"/>
      <c r="K378"/>
      <c r="L378"/>
    </row>
    <row r="379" spans="2:12" s="2" customFormat="1" x14ac:dyDescent="0.25">
      <c r="B379" s="6"/>
      <c r="C379" s="7"/>
      <c r="D379"/>
      <c r="E379"/>
      <c r="F379"/>
      <c r="G379"/>
      <c r="H379"/>
      <c r="I379"/>
      <c r="J379"/>
      <c r="K379"/>
      <c r="L379"/>
    </row>
    <row r="380" spans="2:12" s="2" customFormat="1" x14ac:dyDescent="0.25">
      <c r="B380" s="6"/>
      <c r="C380" s="7"/>
      <c r="D380"/>
      <c r="E380"/>
      <c r="F380"/>
      <c r="G380"/>
      <c r="H380"/>
      <c r="I380"/>
      <c r="J380"/>
      <c r="K380"/>
      <c r="L380"/>
    </row>
    <row r="381" spans="2:12" s="2" customFormat="1" x14ac:dyDescent="0.25">
      <c r="B381" s="6"/>
      <c r="C381" s="7"/>
      <c r="D381"/>
      <c r="E381"/>
      <c r="F381"/>
      <c r="G381"/>
      <c r="H381"/>
      <c r="I381"/>
      <c r="J381"/>
      <c r="K381"/>
      <c r="L381"/>
    </row>
    <row r="382" spans="2:12" s="2" customFormat="1" x14ac:dyDescent="0.25">
      <c r="B382" s="6"/>
      <c r="C382" s="7"/>
      <c r="D382"/>
      <c r="E382"/>
      <c r="F382"/>
      <c r="G382"/>
      <c r="H382"/>
      <c r="I382"/>
      <c r="J382"/>
      <c r="K382"/>
      <c r="L382"/>
    </row>
    <row r="383" spans="2:12" s="2" customFormat="1" x14ac:dyDescent="0.25">
      <c r="B383" s="6"/>
      <c r="C383" s="7"/>
      <c r="D383"/>
      <c r="E383"/>
      <c r="F383"/>
      <c r="G383"/>
      <c r="H383"/>
      <c r="I383"/>
      <c r="J383"/>
      <c r="K383"/>
      <c r="L383"/>
    </row>
    <row r="384" spans="2:12" s="2" customFormat="1" x14ac:dyDescent="0.25">
      <c r="B384" s="6"/>
      <c r="C384" s="7"/>
      <c r="D384"/>
      <c r="E384"/>
      <c r="F384"/>
      <c r="G384"/>
      <c r="H384"/>
      <c r="I384"/>
      <c r="J384"/>
      <c r="K384"/>
      <c r="L384"/>
    </row>
    <row r="385" spans="2:12" s="2" customFormat="1" x14ac:dyDescent="0.25">
      <c r="B385" s="6"/>
      <c r="C385" s="7"/>
      <c r="D385"/>
      <c r="E385"/>
      <c r="F385"/>
      <c r="G385"/>
      <c r="H385"/>
      <c r="I385"/>
      <c r="J385"/>
      <c r="K385"/>
      <c r="L385"/>
    </row>
    <row r="386" spans="2:12" s="2" customFormat="1" x14ac:dyDescent="0.25">
      <c r="B386" s="6"/>
      <c r="C386" s="7"/>
      <c r="D386"/>
      <c r="E386"/>
      <c r="F386"/>
      <c r="G386"/>
      <c r="H386"/>
      <c r="I386"/>
      <c r="J386"/>
      <c r="K386"/>
      <c r="L386"/>
    </row>
    <row r="387" spans="2:12" s="2" customFormat="1" x14ac:dyDescent="0.25">
      <c r="B387" s="6"/>
      <c r="C387" s="7"/>
      <c r="D387"/>
      <c r="E387"/>
      <c r="F387"/>
      <c r="G387"/>
      <c r="H387"/>
      <c r="I387"/>
      <c r="J387"/>
      <c r="K387"/>
      <c r="L387"/>
    </row>
    <row r="388" spans="2:12" s="2" customFormat="1" x14ac:dyDescent="0.25">
      <c r="B388" s="6"/>
      <c r="C388" s="7"/>
      <c r="D388"/>
      <c r="E388"/>
      <c r="F388"/>
      <c r="G388"/>
      <c r="H388"/>
      <c r="I388"/>
      <c r="J388"/>
      <c r="K388"/>
      <c r="L388"/>
    </row>
    <row r="389" spans="2:12" s="2" customFormat="1" x14ac:dyDescent="0.25">
      <c r="B389" s="6"/>
      <c r="C389" s="7"/>
      <c r="D389"/>
      <c r="E389"/>
      <c r="F389"/>
      <c r="G389"/>
      <c r="H389"/>
      <c r="I389"/>
      <c r="J389"/>
      <c r="K389"/>
      <c r="L389"/>
    </row>
    <row r="390" spans="2:12" s="2" customFormat="1" x14ac:dyDescent="0.25">
      <c r="B390" s="6"/>
      <c r="C390" s="7"/>
      <c r="D390"/>
      <c r="E390"/>
      <c r="F390"/>
      <c r="G390"/>
      <c r="H390"/>
      <c r="I390"/>
      <c r="J390"/>
      <c r="K390"/>
      <c r="L390"/>
    </row>
    <row r="391" spans="2:12" s="2" customFormat="1" x14ac:dyDescent="0.25">
      <c r="B391" s="6"/>
      <c r="C391" s="7"/>
      <c r="D391"/>
      <c r="E391"/>
      <c r="F391"/>
      <c r="G391"/>
      <c r="H391"/>
      <c r="I391"/>
      <c r="J391"/>
      <c r="K391"/>
      <c r="L391"/>
    </row>
    <row r="392" spans="2:12" s="2" customFormat="1" x14ac:dyDescent="0.25">
      <c r="B392" s="6"/>
      <c r="C392" s="7"/>
      <c r="D392"/>
      <c r="E392"/>
      <c r="F392"/>
      <c r="G392"/>
      <c r="H392"/>
      <c r="I392"/>
      <c r="J392"/>
      <c r="K392"/>
      <c r="L392"/>
    </row>
    <row r="393" spans="2:12" s="2" customFormat="1" x14ac:dyDescent="0.25">
      <c r="B393" s="6"/>
      <c r="C393" s="7"/>
      <c r="D393"/>
      <c r="E393"/>
      <c r="F393"/>
      <c r="G393"/>
      <c r="H393"/>
      <c r="I393"/>
      <c r="J393"/>
      <c r="K393"/>
      <c r="L393"/>
    </row>
    <row r="394" spans="2:12" s="2" customFormat="1" x14ac:dyDescent="0.25">
      <c r="B394" s="6"/>
      <c r="C394" s="7"/>
      <c r="D394"/>
      <c r="E394"/>
      <c r="F394"/>
      <c r="G394"/>
      <c r="H394"/>
      <c r="I394"/>
      <c r="J394"/>
      <c r="K394"/>
      <c r="L394"/>
    </row>
    <row r="395" spans="2:12" s="2" customFormat="1" x14ac:dyDescent="0.25">
      <c r="B395" s="6"/>
      <c r="C395" s="7"/>
      <c r="D395"/>
      <c r="E395"/>
      <c r="F395"/>
      <c r="G395"/>
      <c r="H395"/>
      <c r="I395"/>
      <c r="J395"/>
      <c r="K395"/>
      <c r="L395"/>
    </row>
    <row r="396" spans="2:12" s="2" customFormat="1" x14ac:dyDescent="0.25">
      <c r="B396" s="6"/>
      <c r="C396" s="7"/>
      <c r="D396"/>
      <c r="E396"/>
      <c r="F396"/>
      <c r="G396"/>
      <c r="H396"/>
      <c r="I396"/>
      <c r="J396"/>
      <c r="K396"/>
      <c r="L396"/>
    </row>
    <row r="397" spans="2:12" s="2" customFormat="1" x14ac:dyDescent="0.25">
      <c r="B397" s="6"/>
      <c r="C397" s="7"/>
      <c r="D397"/>
      <c r="E397"/>
      <c r="F397"/>
      <c r="G397"/>
      <c r="H397"/>
      <c r="I397"/>
      <c r="J397"/>
      <c r="K397"/>
      <c r="L397"/>
    </row>
    <row r="398" spans="2:12" s="2" customFormat="1" x14ac:dyDescent="0.25">
      <c r="B398" s="6"/>
      <c r="C398" s="7"/>
      <c r="D398"/>
      <c r="E398"/>
      <c r="F398"/>
      <c r="G398"/>
      <c r="H398"/>
      <c r="I398"/>
      <c r="J398"/>
      <c r="K398"/>
      <c r="L398"/>
    </row>
    <row r="399" spans="2:12" s="2" customFormat="1" x14ac:dyDescent="0.25">
      <c r="B399" s="6"/>
      <c r="C399" s="7"/>
      <c r="D399"/>
      <c r="E399"/>
      <c r="F399"/>
      <c r="G399"/>
      <c r="H399"/>
      <c r="I399"/>
      <c r="J399"/>
      <c r="K399"/>
      <c r="L399"/>
    </row>
    <row r="400" spans="2:12" s="2" customFormat="1" x14ac:dyDescent="0.25">
      <c r="B400" s="6"/>
      <c r="C400" s="7"/>
      <c r="D400"/>
      <c r="E400"/>
      <c r="F400"/>
      <c r="G400"/>
      <c r="H400"/>
      <c r="I400"/>
      <c r="J400"/>
      <c r="K400"/>
      <c r="L400"/>
    </row>
    <row r="401" spans="2:12" s="2" customFormat="1" x14ac:dyDescent="0.25">
      <c r="B401" s="6"/>
      <c r="C401" s="7"/>
      <c r="D401"/>
      <c r="E401"/>
      <c r="F401"/>
      <c r="G401"/>
      <c r="H401"/>
      <c r="I401"/>
      <c r="J401"/>
      <c r="K401"/>
      <c r="L401"/>
    </row>
    <row r="402" spans="2:12" s="2" customFormat="1" x14ac:dyDescent="0.25">
      <c r="B402" s="6"/>
      <c r="C402" s="7"/>
      <c r="D402"/>
      <c r="E402"/>
      <c r="F402"/>
      <c r="G402"/>
      <c r="H402"/>
      <c r="I402"/>
      <c r="J402"/>
      <c r="K402"/>
      <c r="L402"/>
    </row>
    <row r="403" spans="2:12" s="2" customFormat="1" x14ac:dyDescent="0.25">
      <c r="B403" s="6"/>
      <c r="C403" s="7"/>
      <c r="D403"/>
      <c r="E403"/>
      <c r="F403"/>
      <c r="G403"/>
      <c r="H403"/>
      <c r="I403"/>
      <c r="J403"/>
      <c r="K403"/>
      <c r="L403"/>
    </row>
    <row r="404" spans="2:12" s="2" customFormat="1" x14ac:dyDescent="0.25">
      <c r="B404" s="6"/>
      <c r="C404" s="7"/>
      <c r="D404"/>
      <c r="E404"/>
      <c r="F404"/>
      <c r="G404"/>
      <c r="H404"/>
      <c r="I404"/>
      <c r="J404"/>
      <c r="K404"/>
      <c r="L404"/>
    </row>
    <row r="405" spans="2:12" s="2" customFormat="1" x14ac:dyDescent="0.25">
      <c r="B405" s="6"/>
      <c r="C405" s="7"/>
      <c r="D405"/>
      <c r="E405"/>
      <c r="F405"/>
      <c r="G405"/>
      <c r="H405"/>
      <c r="I405"/>
      <c r="J405"/>
      <c r="K405"/>
      <c r="L405"/>
    </row>
    <row r="406" spans="2:12" s="2" customFormat="1" x14ac:dyDescent="0.25">
      <c r="B406" s="6"/>
      <c r="C406" s="7"/>
      <c r="D406"/>
      <c r="E406"/>
      <c r="F406"/>
      <c r="G406"/>
      <c r="H406"/>
      <c r="I406"/>
      <c r="J406"/>
      <c r="K406"/>
      <c r="L406"/>
    </row>
    <row r="407" spans="2:12" s="2" customFormat="1" x14ac:dyDescent="0.25">
      <c r="B407" s="6"/>
      <c r="C407" s="7"/>
      <c r="D407"/>
      <c r="E407"/>
      <c r="F407"/>
      <c r="G407"/>
      <c r="H407"/>
      <c r="I407"/>
      <c r="J407"/>
      <c r="K407"/>
      <c r="L407"/>
    </row>
    <row r="408" spans="2:12" s="2" customFormat="1" x14ac:dyDescent="0.25">
      <c r="B408" s="6"/>
      <c r="C408" s="7"/>
      <c r="D408"/>
      <c r="E408"/>
      <c r="F408"/>
      <c r="G408"/>
      <c r="H408"/>
      <c r="I408"/>
      <c r="J408"/>
      <c r="K408"/>
      <c r="L408"/>
    </row>
    <row r="409" spans="2:12" s="2" customFormat="1" x14ac:dyDescent="0.25">
      <c r="B409" s="6"/>
      <c r="C409" s="7"/>
      <c r="D409"/>
      <c r="E409"/>
      <c r="F409"/>
      <c r="G409"/>
      <c r="H409"/>
      <c r="I409"/>
      <c r="J409"/>
      <c r="K409"/>
      <c r="L409"/>
    </row>
    <row r="410" spans="2:12" s="2" customFormat="1" x14ac:dyDescent="0.25">
      <c r="B410" s="6"/>
      <c r="C410" s="7"/>
      <c r="D410"/>
      <c r="E410"/>
      <c r="F410"/>
      <c r="G410"/>
      <c r="H410"/>
      <c r="I410"/>
      <c r="J410"/>
      <c r="K410"/>
      <c r="L410"/>
    </row>
    <row r="411" spans="2:12" s="2" customFormat="1" x14ac:dyDescent="0.25">
      <c r="B411" s="6"/>
      <c r="C411" s="7"/>
      <c r="D411"/>
      <c r="E411"/>
      <c r="F411"/>
      <c r="G411"/>
      <c r="H411"/>
      <c r="I411"/>
      <c r="J411"/>
      <c r="K411"/>
      <c r="L411"/>
    </row>
    <row r="412" spans="2:12" s="2" customFormat="1" x14ac:dyDescent="0.25">
      <c r="B412" s="6"/>
      <c r="C412" s="7"/>
      <c r="D412"/>
      <c r="E412"/>
      <c r="F412"/>
      <c r="G412"/>
      <c r="H412"/>
      <c r="I412"/>
      <c r="J412"/>
      <c r="K412"/>
      <c r="L412"/>
    </row>
    <row r="413" spans="2:12" s="2" customFormat="1" x14ac:dyDescent="0.25">
      <c r="B413" s="6"/>
      <c r="C413" s="7"/>
      <c r="D413"/>
      <c r="E413"/>
      <c r="F413"/>
      <c r="G413"/>
      <c r="H413"/>
      <c r="I413"/>
      <c r="J413"/>
      <c r="K413"/>
      <c r="L413"/>
    </row>
    <row r="414" spans="2:12" s="2" customFormat="1" x14ac:dyDescent="0.25">
      <c r="B414" s="6"/>
      <c r="C414" s="7"/>
      <c r="D414"/>
      <c r="E414"/>
      <c r="F414"/>
      <c r="G414"/>
      <c r="H414"/>
      <c r="I414"/>
      <c r="J414"/>
      <c r="K414"/>
      <c r="L414"/>
    </row>
    <row r="415" spans="2:12" s="2" customFormat="1" x14ac:dyDescent="0.25">
      <c r="B415" s="6"/>
      <c r="C415" s="7"/>
      <c r="D415"/>
      <c r="E415"/>
      <c r="F415"/>
      <c r="G415"/>
      <c r="H415"/>
      <c r="I415"/>
      <c r="J415"/>
      <c r="K415"/>
      <c r="L415"/>
    </row>
    <row r="416" spans="2:12" s="2" customFormat="1" x14ac:dyDescent="0.25">
      <c r="B416" s="6"/>
      <c r="C416" s="7"/>
      <c r="D416"/>
      <c r="E416"/>
      <c r="F416"/>
      <c r="G416"/>
      <c r="H416"/>
      <c r="I416"/>
      <c r="J416"/>
      <c r="K416"/>
      <c r="L416"/>
    </row>
    <row r="417" spans="2:12" s="2" customFormat="1" x14ac:dyDescent="0.25">
      <c r="B417" s="6"/>
      <c r="C417" s="7"/>
      <c r="D417"/>
      <c r="E417"/>
      <c r="F417"/>
      <c r="G417"/>
      <c r="H417"/>
      <c r="I417"/>
      <c r="J417"/>
      <c r="K417"/>
      <c r="L417"/>
    </row>
    <row r="418" spans="2:12" s="2" customFormat="1" x14ac:dyDescent="0.25">
      <c r="B418" s="6"/>
      <c r="C418" s="7"/>
      <c r="D418"/>
      <c r="E418"/>
      <c r="F418"/>
      <c r="G418"/>
      <c r="H418"/>
      <c r="I418"/>
      <c r="J418"/>
      <c r="K418"/>
      <c r="L418"/>
    </row>
    <row r="419" spans="2:12" s="2" customFormat="1" x14ac:dyDescent="0.25">
      <c r="B419" s="6"/>
      <c r="C419" s="7"/>
      <c r="D419"/>
      <c r="E419"/>
      <c r="F419"/>
      <c r="G419"/>
      <c r="H419"/>
      <c r="I419"/>
      <c r="J419"/>
      <c r="K419"/>
      <c r="L419"/>
    </row>
    <row r="420" spans="2:12" s="2" customFormat="1" x14ac:dyDescent="0.25">
      <c r="B420" s="6"/>
      <c r="C420" s="7"/>
      <c r="D420"/>
      <c r="E420"/>
      <c r="F420"/>
      <c r="G420"/>
      <c r="H420"/>
      <c r="I420"/>
      <c r="J420"/>
      <c r="K420"/>
      <c r="L420"/>
    </row>
    <row r="421" spans="2:12" s="2" customFormat="1" x14ac:dyDescent="0.25">
      <c r="B421" s="6"/>
      <c r="C421" s="7"/>
      <c r="D421"/>
      <c r="E421"/>
      <c r="F421"/>
      <c r="G421"/>
      <c r="H421"/>
      <c r="I421"/>
      <c r="J421"/>
      <c r="K421"/>
      <c r="L421"/>
    </row>
    <row r="422" spans="2:12" s="2" customFormat="1" x14ac:dyDescent="0.25">
      <c r="B422" s="6"/>
      <c r="C422" s="7"/>
      <c r="D422"/>
      <c r="E422"/>
      <c r="F422"/>
      <c r="G422"/>
      <c r="H422"/>
      <c r="I422"/>
      <c r="J422"/>
      <c r="K422"/>
      <c r="L422"/>
    </row>
    <row r="423" spans="2:12" s="2" customFormat="1" x14ac:dyDescent="0.25">
      <c r="B423" s="6"/>
      <c r="C423" s="7"/>
      <c r="D423"/>
      <c r="E423"/>
      <c r="F423"/>
      <c r="G423"/>
      <c r="H423"/>
      <c r="I423"/>
      <c r="J423"/>
      <c r="K423"/>
      <c r="L423"/>
    </row>
    <row r="424" spans="2:12" s="2" customFormat="1" x14ac:dyDescent="0.25">
      <c r="B424" s="6"/>
      <c r="C424" s="7"/>
      <c r="D424"/>
      <c r="E424"/>
      <c r="F424"/>
      <c r="G424"/>
      <c r="H424"/>
      <c r="I424"/>
      <c r="J424"/>
      <c r="K424"/>
      <c r="L424"/>
    </row>
    <row r="425" spans="2:12" s="2" customFormat="1" x14ac:dyDescent="0.25">
      <c r="B425" s="6"/>
      <c r="C425" s="7"/>
      <c r="D425"/>
      <c r="E425"/>
      <c r="F425"/>
      <c r="G425"/>
      <c r="H425"/>
      <c r="I425"/>
      <c r="J425"/>
      <c r="K425"/>
      <c r="L425"/>
    </row>
    <row r="426" spans="2:12" s="2" customFormat="1" x14ac:dyDescent="0.25">
      <c r="B426" s="6"/>
      <c r="C426" s="7"/>
      <c r="D426"/>
      <c r="E426"/>
      <c r="F426"/>
      <c r="G426"/>
      <c r="H426"/>
      <c r="I426"/>
      <c r="J426"/>
      <c r="K426"/>
      <c r="L426"/>
    </row>
    <row r="427" spans="2:12" s="2" customFormat="1" x14ac:dyDescent="0.25">
      <c r="B427" s="6"/>
      <c r="C427" s="7"/>
      <c r="D427"/>
      <c r="E427"/>
      <c r="F427"/>
      <c r="G427"/>
      <c r="H427"/>
      <c r="I427"/>
      <c r="J427"/>
      <c r="K427"/>
      <c r="L427"/>
    </row>
    <row r="428" spans="2:12" s="2" customFormat="1" x14ac:dyDescent="0.25">
      <c r="B428" s="6"/>
      <c r="C428" s="7"/>
      <c r="D428"/>
      <c r="E428"/>
      <c r="F428"/>
      <c r="G428"/>
      <c r="H428"/>
      <c r="I428"/>
      <c r="J428"/>
      <c r="K428"/>
      <c r="L428"/>
    </row>
    <row r="429" spans="2:12" s="2" customFormat="1" x14ac:dyDescent="0.25">
      <c r="B429" s="6"/>
      <c r="C429" s="7"/>
      <c r="D429"/>
      <c r="E429"/>
      <c r="F429"/>
      <c r="G429"/>
      <c r="H429"/>
      <c r="I429"/>
      <c r="J429"/>
      <c r="K429"/>
      <c r="L429"/>
    </row>
    <row r="430" spans="2:12" s="2" customFormat="1" x14ac:dyDescent="0.25">
      <c r="B430" s="6"/>
      <c r="C430" s="7"/>
      <c r="D430"/>
      <c r="E430"/>
      <c r="F430"/>
      <c r="G430"/>
      <c r="H430"/>
      <c r="I430"/>
      <c r="J430"/>
      <c r="K430"/>
      <c r="L430"/>
    </row>
    <row r="431" spans="2:12" s="2" customFormat="1" x14ac:dyDescent="0.25">
      <c r="B431" s="6"/>
      <c r="C431" s="7"/>
      <c r="D431"/>
      <c r="E431"/>
      <c r="F431"/>
      <c r="G431"/>
      <c r="H431"/>
      <c r="I431"/>
      <c r="J431"/>
      <c r="K431"/>
      <c r="L431"/>
    </row>
    <row r="432" spans="2:12" s="2" customFormat="1" x14ac:dyDescent="0.25">
      <c r="B432" s="6"/>
      <c r="C432" s="7"/>
      <c r="D432"/>
      <c r="E432"/>
      <c r="F432"/>
      <c r="G432"/>
      <c r="H432"/>
      <c r="I432"/>
      <c r="J432"/>
      <c r="K432"/>
      <c r="L432"/>
    </row>
    <row r="433" spans="2:12" s="2" customFormat="1" x14ac:dyDescent="0.25">
      <c r="B433" s="6"/>
      <c r="C433" s="7"/>
      <c r="D433"/>
      <c r="E433"/>
      <c r="F433"/>
      <c r="G433"/>
      <c r="H433"/>
      <c r="I433"/>
      <c r="J433"/>
      <c r="K433"/>
      <c r="L433"/>
    </row>
    <row r="434" spans="2:12" s="2" customFormat="1" x14ac:dyDescent="0.25">
      <c r="B434" s="6"/>
      <c r="C434" s="7"/>
      <c r="D434"/>
      <c r="E434"/>
      <c r="F434"/>
      <c r="G434"/>
      <c r="H434"/>
      <c r="I434"/>
      <c r="J434"/>
      <c r="K434"/>
      <c r="L434"/>
    </row>
    <row r="435" spans="2:12" s="2" customFormat="1" x14ac:dyDescent="0.25">
      <c r="B435" s="6"/>
      <c r="C435" s="7"/>
      <c r="D435"/>
      <c r="E435"/>
      <c r="F435"/>
      <c r="G435"/>
      <c r="H435"/>
      <c r="I435"/>
      <c r="J435"/>
      <c r="K435"/>
      <c r="L435"/>
    </row>
    <row r="436" spans="2:12" s="2" customFormat="1" x14ac:dyDescent="0.25">
      <c r="B436" s="6"/>
      <c r="C436" s="7"/>
      <c r="D436"/>
      <c r="E436"/>
      <c r="F436"/>
      <c r="G436"/>
      <c r="H436"/>
      <c r="I436"/>
      <c r="J436"/>
      <c r="K436"/>
      <c r="L436"/>
    </row>
    <row r="437" spans="2:12" s="2" customFormat="1" x14ac:dyDescent="0.25">
      <c r="B437" s="6"/>
      <c r="C437" s="7"/>
      <c r="D437"/>
      <c r="E437"/>
      <c r="F437"/>
      <c r="G437"/>
      <c r="H437"/>
      <c r="I437"/>
      <c r="J437"/>
      <c r="K437"/>
      <c r="L437"/>
    </row>
    <row r="438" spans="2:12" s="2" customFormat="1" x14ac:dyDescent="0.25">
      <c r="B438" s="6"/>
      <c r="C438" s="7"/>
      <c r="D438"/>
      <c r="E438"/>
      <c r="F438"/>
      <c r="G438"/>
      <c r="H438"/>
      <c r="I438"/>
      <c r="J438"/>
      <c r="K438"/>
      <c r="L438"/>
    </row>
    <row r="439" spans="2:12" s="2" customFormat="1" x14ac:dyDescent="0.25">
      <c r="B439" s="6"/>
      <c r="C439" s="7"/>
      <c r="D439"/>
      <c r="E439"/>
      <c r="F439"/>
      <c r="G439"/>
      <c r="H439"/>
      <c r="I439"/>
      <c r="J439"/>
      <c r="K439"/>
      <c r="L439"/>
    </row>
    <row r="440" spans="2:12" s="2" customFormat="1" x14ac:dyDescent="0.25">
      <c r="B440" s="6"/>
      <c r="C440" s="7"/>
      <c r="D440"/>
      <c r="E440"/>
      <c r="F440"/>
      <c r="G440"/>
      <c r="H440"/>
      <c r="I440"/>
      <c r="J440"/>
      <c r="K440"/>
      <c r="L440"/>
    </row>
    <row r="441" spans="2:12" s="2" customFormat="1" x14ac:dyDescent="0.25">
      <c r="B441" s="6"/>
      <c r="C441" s="7"/>
      <c r="D441"/>
      <c r="E441"/>
      <c r="F441"/>
      <c r="G441"/>
      <c r="H441"/>
      <c r="I441"/>
      <c r="J441"/>
      <c r="K441"/>
      <c r="L441"/>
    </row>
    <row r="442" spans="2:12" s="2" customFormat="1" x14ac:dyDescent="0.25">
      <c r="B442" s="6"/>
      <c r="C442" s="7"/>
      <c r="D442"/>
      <c r="E442"/>
      <c r="F442"/>
      <c r="G442"/>
      <c r="H442"/>
      <c r="I442"/>
      <c r="J442"/>
      <c r="K442"/>
      <c r="L442"/>
    </row>
    <row r="443" spans="2:12" s="2" customFormat="1" x14ac:dyDescent="0.25">
      <c r="B443" s="6"/>
      <c r="C443" s="7"/>
      <c r="D443"/>
      <c r="E443"/>
      <c r="F443"/>
      <c r="G443"/>
      <c r="H443"/>
      <c r="I443"/>
      <c r="J443"/>
      <c r="K443"/>
      <c r="L443"/>
    </row>
    <row r="444" spans="2:12" s="2" customFormat="1" x14ac:dyDescent="0.25">
      <c r="B444" s="6"/>
      <c r="C444" s="7"/>
      <c r="D444"/>
      <c r="E444"/>
      <c r="F444"/>
      <c r="G444"/>
      <c r="H444"/>
      <c r="I444"/>
      <c r="J444"/>
      <c r="K444"/>
      <c r="L444"/>
    </row>
    <row r="445" spans="2:12" s="2" customFormat="1" x14ac:dyDescent="0.25">
      <c r="B445" s="6"/>
      <c r="C445" s="7"/>
      <c r="D445"/>
      <c r="E445"/>
      <c r="F445"/>
      <c r="G445"/>
      <c r="H445"/>
      <c r="I445"/>
      <c r="J445"/>
      <c r="K445"/>
      <c r="L445"/>
    </row>
    <row r="446" spans="2:12" s="2" customFormat="1" x14ac:dyDescent="0.25">
      <c r="B446" s="6"/>
      <c r="C446" s="7"/>
      <c r="D446"/>
      <c r="E446"/>
      <c r="F446"/>
      <c r="G446"/>
      <c r="H446"/>
      <c r="I446"/>
      <c r="J446"/>
      <c r="K446"/>
      <c r="L446"/>
    </row>
    <row r="447" spans="2:12" s="2" customFormat="1" x14ac:dyDescent="0.25">
      <c r="B447" s="6"/>
      <c r="C447" s="7"/>
      <c r="D447"/>
      <c r="E447"/>
      <c r="F447"/>
      <c r="G447"/>
      <c r="H447"/>
      <c r="I447"/>
      <c r="J447"/>
      <c r="K447"/>
      <c r="L447"/>
    </row>
    <row r="448" spans="2:12" s="2" customFormat="1" x14ac:dyDescent="0.25">
      <c r="B448" s="6"/>
      <c r="C448" s="7"/>
      <c r="D448"/>
      <c r="E448"/>
      <c r="F448"/>
      <c r="G448"/>
      <c r="H448"/>
      <c r="I448"/>
      <c r="J448"/>
      <c r="K448"/>
      <c r="L448"/>
    </row>
    <row r="449" spans="2:12" s="2" customFormat="1" x14ac:dyDescent="0.25">
      <c r="B449" s="6"/>
      <c r="C449" s="7"/>
      <c r="D449"/>
      <c r="E449"/>
      <c r="F449"/>
      <c r="G449"/>
      <c r="H449"/>
      <c r="I449"/>
      <c r="J449"/>
      <c r="K449"/>
      <c r="L449"/>
    </row>
    <row r="450" spans="2:12" s="2" customFormat="1" x14ac:dyDescent="0.25">
      <c r="B450" s="6"/>
      <c r="C450" s="7"/>
      <c r="D450"/>
      <c r="E450"/>
      <c r="F450"/>
      <c r="G450"/>
      <c r="H450"/>
      <c r="I450"/>
      <c r="J450"/>
      <c r="K450"/>
      <c r="L450"/>
    </row>
    <row r="451" spans="2:12" s="2" customFormat="1" x14ac:dyDescent="0.25">
      <c r="B451" s="6"/>
      <c r="C451" s="7"/>
      <c r="D451"/>
      <c r="E451"/>
      <c r="F451"/>
      <c r="G451"/>
      <c r="H451"/>
      <c r="I451"/>
      <c r="J451"/>
      <c r="K451"/>
      <c r="L451"/>
    </row>
    <row r="452" spans="2:12" s="2" customFormat="1" x14ac:dyDescent="0.25">
      <c r="B452" s="6"/>
      <c r="C452" s="7"/>
      <c r="D452"/>
      <c r="E452"/>
      <c r="F452"/>
      <c r="G452"/>
      <c r="H452"/>
      <c r="I452"/>
      <c r="J452"/>
      <c r="K452"/>
      <c r="L452"/>
    </row>
    <row r="453" spans="2:12" s="2" customFormat="1" x14ac:dyDescent="0.25">
      <c r="B453" s="6"/>
      <c r="C453" s="7"/>
      <c r="D453"/>
      <c r="E453"/>
      <c r="F453"/>
      <c r="G453"/>
      <c r="H453"/>
      <c r="I453"/>
      <c r="J453"/>
      <c r="K453"/>
      <c r="L453"/>
    </row>
    <row r="454" spans="2:12" s="2" customFormat="1" x14ac:dyDescent="0.25">
      <c r="B454" s="6"/>
      <c r="C454" s="7"/>
      <c r="D454"/>
      <c r="E454"/>
      <c r="F454"/>
      <c r="G454"/>
      <c r="H454"/>
      <c r="I454"/>
      <c r="J454"/>
      <c r="K454"/>
      <c r="L454"/>
    </row>
    <row r="455" spans="2:12" s="2" customFormat="1" x14ac:dyDescent="0.25">
      <c r="B455" s="6"/>
      <c r="C455" s="7"/>
      <c r="D455"/>
      <c r="E455"/>
      <c r="F455"/>
      <c r="G455"/>
      <c r="H455"/>
      <c r="I455"/>
      <c r="J455"/>
      <c r="K455"/>
      <c r="L455"/>
    </row>
    <row r="456" spans="2:12" s="2" customFormat="1" x14ac:dyDescent="0.25">
      <c r="B456" s="6"/>
      <c r="C456" s="7"/>
      <c r="D456"/>
      <c r="E456"/>
      <c r="F456"/>
      <c r="G456"/>
      <c r="H456"/>
      <c r="I456"/>
      <c r="J456"/>
      <c r="K456"/>
      <c r="L456"/>
    </row>
    <row r="457" spans="2:12" s="2" customFormat="1" x14ac:dyDescent="0.25">
      <c r="B457" s="6"/>
      <c r="C457" s="7"/>
      <c r="D457"/>
      <c r="E457"/>
      <c r="F457"/>
      <c r="G457"/>
      <c r="H457"/>
      <c r="I457"/>
      <c r="J457"/>
      <c r="K457"/>
      <c r="L457"/>
    </row>
    <row r="458" spans="2:12" s="2" customFormat="1" x14ac:dyDescent="0.25">
      <c r="B458" s="6"/>
      <c r="C458" s="7"/>
      <c r="D458"/>
      <c r="E458"/>
      <c r="F458"/>
      <c r="G458"/>
      <c r="H458"/>
      <c r="I458"/>
      <c r="J458"/>
      <c r="K458"/>
      <c r="L458"/>
    </row>
    <row r="459" spans="2:12" s="2" customFormat="1" x14ac:dyDescent="0.25">
      <c r="B459" s="6"/>
      <c r="C459" s="7"/>
      <c r="D459"/>
      <c r="E459"/>
      <c r="F459"/>
      <c r="G459"/>
      <c r="H459"/>
      <c r="I459"/>
      <c r="J459"/>
      <c r="K459"/>
      <c r="L459"/>
    </row>
    <row r="460" spans="2:12" s="2" customFormat="1" x14ac:dyDescent="0.25">
      <c r="B460" s="6"/>
      <c r="C460" s="7"/>
      <c r="D460"/>
      <c r="E460"/>
      <c r="F460"/>
      <c r="G460"/>
      <c r="H460"/>
      <c r="I460"/>
      <c r="J460"/>
      <c r="K460"/>
      <c r="L460"/>
    </row>
    <row r="461" spans="2:12" s="2" customFormat="1" x14ac:dyDescent="0.25">
      <c r="B461" s="6"/>
      <c r="C461" s="7"/>
      <c r="D461"/>
      <c r="E461"/>
      <c r="F461"/>
      <c r="G461"/>
      <c r="H461"/>
      <c r="I461"/>
      <c r="J461"/>
      <c r="K461"/>
      <c r="L461"/>
    </row>
    <row r="462" spans="2:12" s="2" customFormat="1" x14ac:dyDescent="0.25">
      <c r="B462" s="6"/>
      <c r="C462" s="7"/>
      <c r="D462"/>
      <c r="E462"/>
      <c r="F462"/>
      <c r="G462"/>
      <c r="H462"/>
      <c r="I462"/>
      <c r="J462"/>
      <c r="K462"/>
      <c r="L462"/>
    </row>
    <row r="463" spans="2:12" s="2" customFormat="1" x14ac:dyDescent="0.25">
      <c r="B463" s="6"/>
      <c r="C463" s="7"/>
      <c r="D463"/>
      <c r="E463"/>
      <c r="F463"/>
      <c r="G463"/>
      <c r="H463"/>
      <c r="I463"/>
      <c r="J463"/>
      <c r="K463"/>
      <c r="L463"/>
    </row>
    <row r="464" spans="2:12" s="2" customFormat="1" x14ac:dyDescent="0.25">
      <c r="B464" s="6"/>
      <c r="C464" s="7"/>
      <c r="D464"/>
      <c r="E464"/>
      <c r="F464"/>
      <c r="G464"/>
      <c r="H464"/>
      <c r="I464"/>
      <c r="J464"/>
      <c r="K464"/>
      <c r="L464"/>
    </row>
    <row r="465" spans="2:12" s="2" customFormat="1" x14ac:dyDescent="0.25">
      <c r="B465" s="6"/>
      <c r="C465" s="7"/>
      <c r="D465"/>
      <c r="E465"/>
      <c r="F465"/>
      <c r="G465"/>
      <c r="H465"/>
      <c r="I465"/>
      <c r="J465"/>
      <c r="K465"/>
      <c r="L465"/>
    </row>
    <row r="466" spans="2:12" s="2" customFormat="1" x14ac:dyDescent="0.25">
      <c r="B466" s="6"/>
      <c r="C466" s="7"/>
      <c r="D466"/>
      <c r="E466"/>
      <c r="F466"/>
      <c r="G466"/>
      <c r="H466"/>
      <c r="I466"/>
      <c r="J466"/>
      <c r="K466"/>
      <c r="L466"/>
    </row>
    <row r="467" spans="2:12" s="2" customFormat="1" x14ac:dyDescent="0.25">
      <c r="B467" s="6"/>
      <c r="C467" s="7"/>
      <c r="D467"/>
      <c r="E467"/>
      <c r="F467"/>
      <c r="G467"/>
      <c r="H467"/>
      <c r="I467"/>
      <c r="J467"/>
      <c r="K467"/>
      <c r="L467"/>
    </row>
    <row r="468" spans="2:12" s="2" customFormat="1" x14ac:dyDescent="0.25">
      <c r="B468" s="6"/>
      <c r="C468" s="7"/>
      <c r="D468"/>
      <c r="E468"/>
      <c r="F468"/>
      <c r="G468"/>
      <c r="H468"/>
      <c r="I468"/>
      <c r="J468"/>
      <c r="K468"/>
      <c r="L468"/>
    </row>
    <row r="469" spans="2:12" s="2" customFormat="1" x14ac:dyDescent="0.25">
      <c r="B469" s="6"/>
      <c r="C469" s="7"/>
      <c r="D469"/>
      <c r="E469"/>
      <c r="F469"/>
      <c r="G469"/>
      <c r="H469"/>
      <c r="I469"/>
      <c r="J469"/>
      <c r="K469"/>
      <c r="L469"/>
    </row>
    <row r="470" spans="2:12" s="2" customFormat="1" x14ac:dyDescent="0.25">
      <c r="B470" s="6"/>
      <c r="C470" s="7"/>
      <c r="D470"/>
      <c r="E470"/>
      <c r="F470"/>
      <c r="G470"/>
      <c r="H470"/>
      <c r="I470"/>
      <c r="J470"/>
      <c r="K470"/>
      <c r="L470"/>
    </row>
    <row r="471" spans="2:12" s="2" customFormat="1" x14ac:dyDescent="0.25">
      <c r="B471" s="6"/>
      <c r="C471" s="7"/>
      <c r="D471"/>
      <c r="E471"/>
      <c r="F471"/>
      <c r="G471"/>
      <c r="H471"/>
      <c r="I471"/>
      <c r="J471"/>
      <c r="K471"/>
      <c r="L471"/>
    </row>
    <row r="472" spans="2:12" s="2" customFormat="1" x14ac:dyDescent="0.25">
      <c r="B472" s="6"/>
      <c r="C472" s="7"/>
      <c r="D472"/>
      <c r="E472"/>
      <c r="F472"/>
      <c r="G472"/>
      <c r="H472"/>
      <c r="I472"/>
      <c r="J472"/>
      <c r="K472"/>
      <c r="L472"/>
    </row>
    <row r="473" spans="2:12" s="2" customFormat="1" x14ac:dyDescent="0.25">
      <c r="B473" s="6"/>
      <c r="C473" s="7"/>
      <c r="D473"/>
      <c r="E473"/>
      <c r="F473"/>
      <c r="G473"/>
      <c r="H473"/>
      <c r="I473"/>
      <c r="J473"/>
      <c r="K473"/>
      <c r="L473"/>
    </row>
    <row r="474" spans="2:12" s="2" customFormat="1" x14ac:dyDescent="0.25">
      <c r="B474" s="6"/>
      <c r="C474" s="7"/>
      <c r="D474"/>
      <c r="E474"/>
      <c r="F474"/>
      <c r="G474"/>
      <c r="H474"/>
      <c r="I474"/>
      <c r="J474"/>
      <c r="K474"/>
      <c r="L474"/>
    </row>
    <row r="475" spans="2:12" s="2" customFormat="1" x14ac:dyDescent="0.25">
      <c r="B475" s="6"/>
      <c r="C475" s="7"/>
      <c r="D475"/>
      <c r="E475"/>
      <c r="F475"/>
      <c r="G475"/>
      <c r="H475"/>
      <c r="I475"/>
      <c r="J475"/>
      <c r="K475"/>
      <c r="L475"/>
    </row>
    <row r="476" spans="2:12" s="2" customFormat="1" x14ac:dyDescent="0.25">
      <c r="B476" s="6"/>
      <c r="C476" s="7"/>
      <c r="D476"/>
      <c r="E476"/>
      <c r="F476"/>
      <c r="G476"/>
      <c r="H476"/>
      <c r="I476"/>
      <c r="J476"/>
      <c r="K476"/>
      <c r="L476"/>
    </row>
    <row r="477" spans="2:12" s="2" customFormat="1" x14ac:dyDescent="0.25">
      <c r="B477" s="6"/>
      <c r="C477" s="7"/>
      <c r="D477"/>
      <c r="E477"/>
      <c r="F477"/>
      <c r="G477"/>
      <c r="H477"/>
      <c r="I477"/>
      <c r="J477"/>
      <c r="K477"/>
      <c r="L477"/>
    </row>
    <row r="478" spans="2:12" s="2" customFormat="1" x14ac:dyDescent="0.25">
      <c r="B478" s="6"/>
      <c r="C478" s="7"/>
      <c r="D478"/>
      <c r="E478"/>
      <c r="F478"/>
      <c r="G478"/>
      <c r="H478"/>
      <c r="I478"/>
      <c r="J478"/>
      <c r="K478"/>
      <c r="L478"/>
    </row>
    <row r="479" spans="2:12" s="2" customFormat="1" x14ac:dyDescent="0.25">
      <c r="B479" s="6"/>
      <c r="C479" s="7"/>
      <c r="D479"/>
      <c r="E479"/>
      <c r="F479"/>
      <c r="G479"/>
      <c r="H479"/>
      <c r="I479"/>
      <c r="J479"/>
      <c r="K479"/>
      <c r="L479"/>
    </row>
    <row r="480" spans="2:12" s="2" customFormat="1" x14ac:dyDescent="0.25">
      <c r="B480" s="6"/>
      <c r="C480" s="7"/>
      <c r="D480"/>
      <c r="E480"/>
      <c r="F480"/>
      <c r="G480"/>
      <c r="H480"/>
      <c r="I480"/>
      <c r="J480"/>
      <c r="K480"/>
      <c r="L480"/>
    </row>
    <row r="481" spans="2:12" s="2" customFormat="1" x14ac:dyDescent="0.25">
      <c r="B481" s="6"/>
      <c r="C481" s="7"/>
      <c r="D481"/>
      <c r="E481"/>
      <c r="F481"/>
      <c r="G481"/>
      <c r="H481"/>
      <c r="I481"/>
      <c r="J481"/>
      <c r="K481"/>
      <c r="L481"/>
    </row>
    <row r="482" spans="2:12" s="2" customFormat="1" x14ac:dyDescent="0.25">
      <c r="B482" s="6"/>
      <c r="C482" s="7"/>
      <c r="D482"/>
      <c r="E482"/>
      <c r="F482"/>
      <c r="G482"/>
      <c r="H482"/>
      <c r="I482"/>
      <c r="J482"/>
      <c r="K482"/>
      <c r="L482"/>
    </row>
    <row r="483" spans="2:12" s="2" customFormat="1" x14ac:dyDescent="0.25">
      <c r="B483" s="6"/>
      <c r="C483" s="7"/>
      <c r="D483"/>
      <c r="E483"/>
      <c r="F483"/>
      <c r="G483"/>
      <c r="H483"/>
      <c r="I483"/>
      <c r="J483"/>
      <c r="K483"/>
      <c r="L483"/>
    </row>
    <row r="484" spans="2:12" s="2" customFormat="1" x14ac:dyDescent="0.25">
      <c r="B484" s="6"/>
      <c r="C484" s="7"/>
      <c r="D484"/>
      <c r="E484"/>
      <c r="F484"/>
      <c r="G484"/>
      <c r="H484"/>
      <c r="I484"/>
      <c r="J484"/>
      <c r="K484"/>
      <c r="L484"/>
    </row>
    <row r="485" spans="2:12" s="2" customFormat="1" x14ac:dyDescent="0.25">
      <c r="B485" s="6"/>
      <c r="C485" s="7"/>
      <c r="D485"/>
      <c r="E485"/>
      <c r="F485"/>
      <c r="G485"/>
      <c r="H485"/>
      <c r="I485"/>
      <c r="J485"/>
      <c r="K485"/>
      <c r="L485"/>
    </row>
    <row r="486" spans="2:12" s="2" customFormat="1" x14ac:dyDescent="0.25">
      <c r="B486" s="6"/>
      <c r="C486" s="7"/>
      <c r="D486"/>
      <c r="E486"/>
      <c r="F486"/>
      <c r="G486"/>
      <c r="H486"/>
      <c r="I486"/>
      <c r="J486"/>
      <c r="K486"/>
      <c r="L486"/>
    </row>
    <row r="487" spans="2:12" s="2" customFormat="1" x14ac:dyDescent="0.25">
      <c r="B487" s="6"/>
      <c r="C487" s="7"/>
      <c r="D487"/>
      <c r="E487"/>
      <c r="F487"/>
      <c r="G487"/>
      <c r="H487"/>
      <c r="I487"/>
      <c r="J487"/>
      <c r="K487"/>
      <c r="L487"/>
    </row>
    <row r="488" spans="2:12" s="2" customFormat="1" x14ac:dyDescent="0.25">
      <c r="B488" s="6"/>
      <c r="C488" s="7"/>
      <c r="D488"/>
      <c r="E488"/>
      <c r="F488"/>
      <c r="G488"/>
      <c r="H488"/>
      <c r="I488"/>
      <c r="J488"/>
      <c r="K488"/>
      <c r="L488"/>
    </row>
    <row r="489" spans="2:12" s="2" customFormat="1" x14ac:dyDescent="0.25">
      <c r="B489" s="6"/>
      <c r="C489" s="7"/>
      <c r="D489"/>
      <c r="E489"/>
      <c r="F489"/>
      <c r="G489"/>
      <c r="H489"/>
      <c r="I489"/>
      <c r="J489"/>
      <c r="K489"/>
      <c r="L489"/>
    </row>
    <row r="490" spans="2:12" s="2" customFormat="1" x14ac:dyDescent="0.25">
      <c r="B490" s="6"/>
      <c r="C490" s="7"/>
      <c r="D490"/>
      <c r="E490"/>
      <c r="F490"/>
      <c r="G490"/>
      <c r="H490"/>
      <c r="I490"/>
      <c r="J490"/>
      <c r="K490"/>
      <c r="L490"/>
    </row>
    <row r="491" spans="2:12" s="2" customFormat="1" x14ac:dyDescent="0.25">
      <c r="B491" s="6"/>
      <c r="C491" s="7"/>
      <c r="D491"/>
      <c r="E491"/>
      <c r="F491"/>
      <c r="G491"/>
      <c r="H491"/>
      <c r="I491"/>
      <c r="J491"/>
      <c r="K491"/>
      <c r="L491"/>
    </row>
    <row r="492" spans="2:12" s="2" customFormat="1" x14ac:dyDescent="0.25">
      <c r="B492" s="6"/>
      <c r="C492" s="7"/>
      <c r="D492"/>
      <c r="E492"/>
      <c r="F492"/>
      <c r="G492"/>
      <c r="H492"/>
      <c r="I492"/>
      <c r="J492"/>
      <c r="K492"/>
      <c r="L492"/>
    </row>
    <row r="493" spans="2:12" s="2" customFormat="1" x14ac:dyDescent="0.25">
      <c r="B493" s="6"/>
      <c r="C493" s="7"/>
      <c r="D493"/>
      <c r="E493"/>
      <c r="F493"/>
      <c r="G493"/>
      <c r="H493"/>
      <c r="I493"/>
      <c r="J493"/>
      <c r="K493"/>
      <c r="L493"/>
    </row>
    <row r="494" spans="2:12" s="2" customFormat="1" x14ac:dyDescent="0.25">
      <c r="B494" s="6"/>
      <c r="C494" s="7"/>
      <c r="D494"/>
      <c r="E494"/>
      <c r="F494"/>
      <c r="G494"/>
      <c r="H494"/>
      <c r="I494"/>
      <c r="J494"/>
      <c r="K494"/>
      <c r="L494"/>
    </row>
    <row r="495" spans="2:12" s="2" customFormat="1" x14ac:dyDescent="0.25">
      <c r="B495" s="6"/>
      <c r="C495" s="7"/>
      <c r="D495"/>
      <c r="E495"/>
      <c r="F495"/>
      <c r="G495"/>
      <c r="H495"/>
      <c r="I495"/>
      <c r="J495"/>
      <c r="K495"/>
      <c r="L495"/>
    </row>
    <row r="496" spans="2:12" s="2" customFormat="1" x14ac:dyDescent="0.25">
      <c r="B496" s="6"/>
      <c r="C496" s="7"/>
      <c r="D496"/>
      <c r="E496"/>
      <c r="F496"/>
      <c r="G496"/>
      <c r="H496"/>
      <c r="I496"/>
      <c r="J496"/>
      <c r="K496"/>
      <c r="L496"/>
    </row>
    <row r="497" spans="2:12" s="2" customFormat="1" x14ac:dyDescent="0.25">
      <c r="B497" s="6"/>
      <c r="C497" s="7"/>
      <c r="D497"/>
      <c r="E497"/>
      <c r="F497"/>
      <c r="G497"/>
      <c r="H497"/>
      <c r="I497"/>
      <c r="J497"/>
      <c r="K497"/>
      <c r="L497"/>
    </row>
    <row r="498" spans="2:12" s="2" customFormat="1" x14ac:dyDescent="0.25">
      <c r="B498" s="6"/>
      <c r="C498" s="7"/>
      <c r="D498"/>
      <c r="E498"/>
      <c r="F498"/>
      <c r="G498"/>
      <c r="H498"/>
      <c r="I498"/>
      <c r="J498"/>
      <c r="K498"/>
      <c r="L498"/>
    </row>
    <row r="499" spans="2:12" s="2" customFormat="1" x14ac:dyDescent="0.25">
      <c r="B499" s="6"/>
      <c r="C499" s="7"/>
      <c r="D499"/>
      <c r="E499"/>
      <c r="F499"/>
      <c r="G499"/>
      <c r="H499"/>
      <c r="I499"/>
      <c r="J499"/>
      <c r="K499"/>
      <c r="L499"/>
    </row>
    <row r="500" spans="2:12" s="2" customFormat="1" x14ac:dyDescent="0.25">
      <c r="B500" s="6"/>
      <c r="C500" s="7"/>
      <c r="D500"/>
      <c r="E500"/>
      <c r="F500"/>
      <c r="G500"/>
      <c r="H500"/>
      <c r="I500"/>
      <c r="J500"/>
      <c r="K500"/>
      <c r="L500"/>
    </row>
    <row r="501" spans="2:12" s="2" customFormat="1" x14ac:dyDescent="0.25">
      <c r="B501" s="6"/>
      <c r="C501" s="7"/>
      <c r="D501"/>
      <c r="E501"/>
      <c r="F501"/>
      <c r="G501"/>
      <c r="H501"/>
      <c r="I501"/>
      <c r="J501"/>
      <c r="K501"/>
      <c r="L501"/>
    </row>
    <row r="502" spans="2:12" s="2" customFormat="1" x14ac:dyDescent="0.25">
      <c r="B502" s="6"/>
      <c r="C502" s="7"/>
      <c r="D502"/>
      <c r="E502"/>
      <c r="F502"/>
      <c r="G502"/>
      <c r="H502"/>
      <c r="I502"/>
      <c r="J502"/>
      <c r="K502"/>
      <c r="L502"/>
    </row>
    <row r="503" spans="2:12" s="2" customFormat="1" x14ac:dyDescent="0.25">
      <c r="B503" s="6"/>
      <c r="C503" s="7"/>
      <c r="D503"/>
      <c r="E503"/>
      <c r="F503"/>
      <c r="G503"/>
      <c r="H503"/>
      <c r="I503"/>
      <c r="J503"/>
      <c r="K503"/>
      <c r="L503"/>
    </row>
    <row r="504" spans="2:12" s="2" customFormat="1" x14ac:dyDescent="0.25">
      <c r="B504" s="6"/>
      <c r="C504" s="7"/>
      <c r="D504"/>
      <c r="E504"/>
      <c r="F504"/>
      <c r="G504"/>
      <c r="H504"/>
      <c r="I504"/>
      <c r="J504"/>
      <c r="K504"/>
      <c r="L504"/>
    </row>
    <row r="505" spans="2:12" s="2" customFormat="1" x14ac:dyDescent="0.25">
      <c r="B505" s="6"/>
      <c r="C505" s="7"/>
      <c r="D505"/>
      <c r="E505"/>
      <c r="F505"/>
      <c r="G505"/>
      <c r="H505"/>
      <c r="I505"/>
      <c r="J505"/>
      <c r="K505"/>
      <c r="L505"/>
    </row>
    <row r="506" spans="2:12" s="2" customFormat="1" x14ac:dyDescent="0.25">
      <c r="B506" s="6"/>
      <c r="C506" s="7"/>
      <c r="D506"/>
      <c r="E506"/>
      <c r="F506"/>
      <c r="G506"/>
      <c r="H506"/>
      <c r="I506"/>
      <c r="J506"/>
      <c r="K506"/>
      <c r="L506"/>
    </row>
    <row r="507" spans="2:12" s="2" customFormat="1" x14ac:dyDescent="0.25">
      <c r="B507" s="6"/>
      <c r="C507" s="7"/>
      <c r="D507"/>
      <c r="E507"/>
      <c r="F507"/>
      <c r="G507"/>
      <c r="H507"/>
      <c r="I507"/>
      <c r="J507"/>
      <c r="K507"/>
      <c r="L507"/>
    </row>
    <row r="508" spans="2:12" s="2" customFormat="1" x14ac:dyDescent="0.25">
      <c r="B508" s="6"/>
      <c r="C508" s="7"/>
      <c r="D508"/>
      <c r="E508"/>
      <c r="F508"/>
      <c r="G508"/>
      <c r="H508"/>
      <c r="I508"/>
      <c r="J508"/>
      <c r="K508"/>
      <c r="L508"/>
    </row>
    <row r="509" spans="2:12" s="2" customFormat="1" x14ac:dyDescent="0.25">
      <c r="B509" s="6"/>
      <c r="C509" s="7"/>
      <c r="D509"/>
      <c r="E509"/>
      <c r="F509"/>
      <c r="G509"/>
      <c r="H509"/>
      <c r="I509"/>
      <c r="J509"/>
      <c r="K509"/>
      <c r="L509"/>
    </row>
    <row r="510" spans="2:12" s="2" customFormat="1" x14ac:dyDescent="0.25">
      <c r="B510" s="6"/>
      <c r="C510" s="7"/>
      <c r="D510"/>
      <c r="E510"/>
      <c r="F510"/>
      <c r="G510"/>
      <c r="H510"/>
      <c r="I510"/>
      <c r="J510"/>
      <c r="K510"/>
      <c r="L510"/>
    </row>
    <row r="511" spans="2:12" s="2" customFormat="1" x14ac:dyDescent="0.25">
      <c r="B511" s="6"/>
      <c r="C511" s="7"/>
      <c r="D511"/>
      <c r="E511"/>
      <c r="F511"/>
      <c r="G511"/>
      <c r="H511"/>
      <c r="I511"/>
      <c r="J511"/>
      <c r="K511"/>
      <c r="L511"/>
    </row>
    <row r="512" spans="2:12" s="2" customFormat="1" x14ac:dyDescent="0.25">
      <c r="B512" s="6"/>
      <c r="C512" s="7"/>
      <c r="D512"/>
      <c r="E512"/>
      <c r="F512"/>
      <c r="G512"/>
      <c r="H512"/>
      <c r="I512"/>
      <c r="J512"/>
      <c r="K512"/>
      <c r="L512"/>
    </row>
    <row r="513" spans="2:12" s="2" customFormat="1" x14ac:dyDescent="0.25">
      <c r="B513" s="6"/>
      <c r="C513" s="7"/>
      <c r="D513"/>
      <c r="E513"/>
      <c r="F513"/>
      <c r="G513"/>
      <c r="H513"/>
      <c r="I513"/>
      <c r="J513"/>
      <c r="K513"/>
      <c r="L513"/>
    </row>
    <row r="514" spans="2:12" s="2" customFormat="1" x14ac:dyDescent="0.25">
      <c r="B514" s="6"/>
      <c r="C514" s="7"/>
      <c r="D514"/>
      <c r="E514"/>
      <c r="F514"/>
      <c r="G514"/>
      <c r="H514"/>
      <c r="I514"/>
      <c r="J514"/>
      <c r="K514"/>
      <c r="L514"/>
    </row>
    <row r="515" spans="2:12" s="2" customFormat="1" x14ac:dyDescent="0.25">
      <c r="B515" s="6"/>
      <c r="C515" s="7"/>
      <c r="D515"/>
      <c r="E515"/>
      <c r="F515"/>
      <c r="G515"/>
      <c r="H515"/>
      <c r="I515"/>
      <c r="J515"/>
      <c r="K515"/>
      <c r="L515"/>
    </row>
    <row r="516" spans="2:12" s="2" customFormat="1" x14ac:dyDescent="0.25">
      <c r="B516" s="6"/>
      <c r="C516" s="7"/>
      <c r="D516"/>
      <c r="E516"/>
      <c r="F516"/>
      <c r="G516"/>
      <c r="H516"/>
      <c r="I516"/>
      <c r="J516"/>
      <c r="K516"/>
      <c r="L516"/>
    </row>
    <row r="517" spans="2:12" s="2" customFormat="1" x14ac:dyDescent="0.25">
      <c r="B517" s="6"/>
      <c r="C517" s="7"/>
      <c r="D517"/>
      <c r="E517"/>
      <c r="F517"/>
      <c r="G517"/>
      <c r="H517"/>
      <c r="I517"/>
      <c r="J517"/>
      <c r="K517"/>
      <c r="L517"/>
    </row>
    <row r="518" spans="2:12" s="2" customFormat="1" x14ac:dyDescent="0.25">
      <c r="B518" s="6"/>
      <c r="C518" s="7"/>
      <c r="D518"/>
      <c r="E518"/>
      <c r="F518"/>
      <c r="G518"/>
      <c r="H518"/>
      <c r="I518"/>
      <c r="J518"/>
      <c r="K518"/>
      <c r="L518"/>
    </row>
    <row r="519" spans="2:12" s="2" customFormat="1" x14ac:dyDescent="0.25">
      <c r="B519" s="6"/>
      <c r="C519" s="7"/>
      <c r="D519"/>
      <c r="E519"/>
      <c r="F519"/>
      <c r="G519"/>
      <c r="H519"/>
      <c r="I519"/>
      <c r="J519"/>
      <c r="K519"/>
      <c r="L519"/>
    </row>
    <row r="520" spans="2:12" s="2" customFormat="1" x14ac:dyDescent="0.25">
      <c r="B520" s="6"/>
      <c r="C520" s="7"/>
      <c r="D520"/>
      <c r="E520"/>
      <c r="F520"/>
      <c r="G520"/>
      <c r="H520"/>
      <c r="I520"/>
      <c r="J520"/>
      <c r="K520"/>
      <c r="L520"/>
    </row>
    <row r="521" spans="2:12" s="2" customFormat="1" x14ac:dyDescent="0.25">
      <c r="B521" s="6"/>
      <c r="C521" s="7"/>
      <c r="D521"/>
      <c r="E521"/>
      <c r="F521"/>
      <c r="G521"/>
      <c r="H521"/>
      <c r="I521"/>
      <c r="J521"/>
      <c r="K521"/>
      <c r="L521"/>
    </row>
    <row r="522" spans="2:12" s="2" customFormat="1" x14ac:dyDescent="0.25">
      <c r="B522" s="6"/>
      <c r="C522" s="7"/>
      <c r="D522"/>
      <c r="E522"/>
      <c r="F522"/>
      <c r="G522"/>
      <c r="H522"/>
      <c r="I522"/>
      <c r="J522"/>
      <c r="K522"/>
      <c r="L522"/>
    </row>
    <row r="523" spans="2:12" s="2" customFormat="1" x14ac:dyDescent="0.25">
      <c r="B523" s="6"/>
      <c r="C523" s="7"/>
      <c r="D523"/>
      <c r="E523"/>
      <c r="F523"/>
      <c r="G523"/>
      <c r="H523"/>
      <c r="I523"/>
      <c r="J523"/>
      <c r="K523"/>
      <c r="L523"/>
    </row>
    <row r="524" spans="2:12" s="2" customFormat="1" x14ac:dyDescent="0.25">
      <c r="B524" s="6"/>
      <c r="C524" s="7"/>
      <c r="D524"/>
      <c r="E524"/>
      <c r="F524"/>
      <c r="G524"/>
      <c r="H524"/>
      <c r="I524"/>
      <c r="J524"/>
      <c r="K524"/>
      <c r="L524"/>
    </row>
    <row r="525" spans="2:12" s="2" customFormat="1" x14ac:dyDescent="0.25">
      <c r="B525" s="6"/>
      <c r="C525" s="7"/>
      <c r="D525"/>
      <c r="E525"/>
      <c r="F525"/>
      <c r="G525"/>
      <c r="H525"/>
      <c r="I525"/>
      <c r="J525"/>
      <c r="K525"/>
      <c r="L525"/>
    </row>
    <row r="526" spans="2:12" s="2" customFormat="1" x14ac:dyDescent="0.25">
      <c r="B526" s="6"/>
      <c r="C526" s="7"/>
      <c r="D526"/>
      <c r="E526"/>
      <c r="F526"/>
      <c r="G526"/>
      <c r="H526"/>
      <c r="I526"/>
      <c r="J526"/>
      <c r="K526"/>
      <c r="L526"/>
    </row>
    <row r="527" spans="2:12" s="2" customFormat="1" x14ac:dyDescent="0.25">
      <c r="B527" s="6"/>
      <c r="C527" s="7"/>
      <c r="D527"/>
      <c r="E527"/>
      <c r="F527"/>
      <c r="G527"/>
      <c r="H527"/>
      <c r="I527"/>
      <c r="J527"/>
      <c r="K527"/>
      <c r="L527"/>
    </row>
    <row r="528" spans="2:12" s="2" customFormat="1" x14ac:dyDescent="0.25">
      <c r="B528" s="6"/>
      <c r="C528" s="7"/>
      <c r="D528"/>
      <c r="E528"/>
      <c r="F528"/>
      <c r="G528"/>
      <c r="H528"/>
      <c r="I528"/>
      <c r="J528"/>
      <c r="K528"/>
      <c r="L528"/>
    </row>
    <row r="529" spans="2:12" s="2" customFormat="1" x14ac:dyDescent="0.25">
      <c r="B529" s="6"/>
      <c r="C529" s="7"/>
      <c r="D529"/>
      <c r="E529"/>
      <c r="F529"/>
      <c r="G529"/>
      <c r="H529"/>
      <c r="I529"/>
      <c r="J529"/>
      <c r="K529"/>
      <c r="L529"/>
    </row>
    <row r="530" spans="2:12" s="2" customFormat="1" x14ac:dyDescent="0.25">
      <c r="B530" s="6"/>
      <c r="C530" s="7"/>
      <c r="D530"/>
      <c r="E530"/>
      <c r="F530"/>
      <c r="G530"/>
      <c r="H530"/>
      <c r="I530"/>
      <c r="J530"/>
      <c r="K530"/>
      <c r="L530"/>
    </row>
    <row r="531" spans="2:12" s="2" customFormat="1" x14ac:dyDescent="0.25">
      <c r="B531" s="6"/>
      <c r="C531" s="7"/>
      <c r="D531"/>
      <c r="E531"/>
      <c r="F531"/>
      <c r="G531"/>
      <c r="H531"/>
      <c r="I531"/>
      <c r="J531"/>
      <c r="K531"/>
      <c r="L531"/>
    </row>
    <row r="532" spans="2:12" s="2" customFormat="1" x14ac:dyDescent="0.25">
      <c r="B532" s="6"/>
      <c r="C532" s="7"/>
      <c r="D532"/>
      <c r="E532"/>
      <c r="F532"/>
      <c r="G532"/>
      <c r="H532"/>
      <c r="I532"/>
      <c r="J532"/>
      <c r="K532"/>
      <c r="L532"/>
    </row>
    <row r="533" spans="2:12" s="2" customFormat="1" x14ac:dyDescent="0.25">
      <c r="B533" s="6"/>
      <c r="C533" s="7"/>
      <c r="D533"/>
      <c r="E533"/>
      <c r="F533"/>
      <c r="G533"/>
      <c r="H533"/>
      <c r="I533"/>
      <c r="J533"/>
      <c r="K533"/>
      <c r="L533"/>
    </row>
    <row r="534" spans="2:12" s="2" customFormat="1" x14ac:dyDescent="0.25">
      <c r="B534" s="6"/>
      <c r="C534" s="7"/>
      <c r="D534"/>
      <c r="E534"/>
      <c r="F534"/>
      <c r="G534"/>
      <c r="H534"/>
      <c r="I534"/>
      <c r="J534"/>
      <c r="K534"/>
      <c r="L534"/>
    </row>
    <row r="535" spans="2:12" s="2" customFormat="1" x14ac:dyDescent="0.25">
      <c r="B535" s="6"/>
      <c r="C535" s="7"/>
      <c r="D535"/>
      <c r="E535"/>
      <c r="F535"/>
      <c r="G535"/>
      <c r="H535"/>
      <c r="I535"/>
      <c r="J535"/>
      <c r="K535"/>
      <c r="L535"/>
    </row>
    <row r="536" spans="2:12" s="2" customFormat="1" x14ac:dyDescent="0.25">
      <c r="B536" s="6"/>
      <c r="C536" s="7"/>
      <c r="D536"/>
      <c r="E536"/>
      <c r="F536"/>
      <c r="G536"/>
      <c r="H536"/>
      <c r="I536"/>
      <c r="J536"/>
      <c r="K536"/>
      <c r="L536"/>
    </row>
    <row r="537" spans="2:12" s="2" customFormat="1" x14ac:dyDescent="0.25">
      <c r="B537" s="6"/>
      <c r="C537" s="7"/>
      <c r="D537"/>
      <c r="E537"/>
      <c r="F537"/>
      <c r="G537"/>
      <c r="H537"/>
      <c r="I537"/>
      <c r="J537"/>
      <c r="K537"/>
      <c r="L537"/>
    </row>
    <row r="538" spans="2:12" s="2" customFormat="1" x14ac:dyDescent="0.25">
      <c r="B538" s="6"/>
      <c r="C538" s="7"/>
      <c r="D538"/>
      <c r="E538"/>
      <c r="F538"/>
      <c r="G538"/>
      <c r="H538"/>
      <c r="I538"/>
      <c r="J538"/>
      <c r="K538"/>
      <c r="L538"/>
    </row>
    <row r="539" spans="2:12" s="2" customFormat="1" x14ac:dyDescent="0.25">
      <c r="B539" s="6"/>
      <c r="C539" s="7"/>
      <c r="D539"/>
      <c r="E539"/>
      <c r="F539"/>
      <c r="G539"/>
      <c r="H539"/>
      <c r="I539"/>
      <c r="J539"/>
      <c r="K539"/>
      <c r="L539"/>
    </row>
    <row r="540" spans="2:12" s="2" customFormat="1" x14ac:dyDescent="0.25">
      <c r="B540" s="6"/>
      <c r="C540" s="7"/>
      <c r="D540"/>
      <c r="E540"/>
      <c r="F540"/>
      <c r="G540"/>
      <c r="H540"/>
      <c r="I540"/>
      <c r="J540"/>
      <c r="K540"/>
      <c r="L540"/>
    </row>
    <row r="541" spans="2:12" s="2" customFormat="1" x14ac:dyDescent="0.25">
      <c r="B541" s="6"/>
      <c r="C541" s="7"/>
      <c r="D541"/>
      <c r="E541"/>
      <c r="F541"/>
      <c r="G541"/>
      <c r="H541"/>
      <c r="I541"/>
      <c r="J541"/>
      <c r="K541"/>
      <c r="L541"/>
    </row>
    <row r="542" spans="2:12" s="2" customFormat="1" x14ac:dyDescent="0.25">
      <c r="B542" s="6"/>
      <c r="C542" s="7"/>
      <c r="D542"/>
      <c r="E542"/>
      <c r="F542"/>
      <c r="G542"/>
      <c r="H542"/>
      <c r="I542"/>
      <c r="J542"/>
      <c r="K542"/>
      <c r="L542"/>
    </row>
    <row r="543" spans="2:12" s="2" customFormat="1" x14ac:dyDescent="0.25">
      <c r="B543" s="6"/>
      <c r="C543" s="7"/>
      <c r="D543"/>
      <c r="E543"/>
      <c r="F543"/>
      <c r="G543"/>
      <c r="H543"/>
      <c r="I543"/>
      <c r="J543"/>
      <c r="K543"/>
      <c r="L543"/>
    </row>
    <row r="544" spans="2:12" s="2" customFormat="1" x14ac:dyDescent="0.25">
      <c r="B544" s="6"/>
      <c r="C544" s="7"/>
      <c r="D544"/>
      <c r="E544"/>
      <c r="F544"/>
      <c r="G544"/>
      <c r="H544"/>
      <c r="I544"/>
      <c r="J544"/>
      <c r="K544"/>
      <c r="L544"/>
    </row>
    <row r="545" spans="2:12" s="2" customFormat="1" x14ac:dyDescent="0.25">
      <c r="B545" s="6"/>
      <c r="C545" s="7"/>
      <c r="D545"/>
      <c r="E545"/>
      <c r="F545"/>
      <c r="G545"/>
      <c r="H545"/>
      <c r="I545"/>
      <c r="J545"/>
      <c r="K545"/>
      <c r="L545"/>
    </row>
    <row r="546" spans="2:12" s="2" customFormat="1" x14ac:dyDescent="0.25">
      <c r="B546" s="6"/>
      <c r="C546" s="7"/>
      <c r="D546"/>
      <c r="E546"/>
      <c r="F546"/>
      <c r="G546"/>
      <c r="H546"/>
      <c r="I546"/>
      <c r="J546"/>
      <c r="K546"/>
      <c r="L546"/>
    </row>
    <row r="547" spans="2:12" s="2" customFormat="1" x14ac:dyDescent="0.25">
      <c r="B547" s="6"/>
      <c r="C547" s="7"/>
      <c r="D547"/>
      <c r="E547"/>
      <c r="F547"/>
      <c r="G547"/>
      <c r="H547"/>
      <c r="I547"/>
      <c r="J547"/>
      <c r="K547"/>
      <c r="L547"/>
    </row>
    <row r="548" spans="2:12" s="2" customFormat="1" x14ac:dyDescent="0.25">
      <c r="B548" s="6"/>
      <c r="C548" s="7"/>
      <c r="D548"/>
      <c r="E548"/>
      <c r="F548"/>
      <c r="G548"/>
      <c r="H548"/>
      <c r="I548"/>
      <c r="J548"/>
      <c r="K548"/>
      <c r="L548"/>
    </row>
    <row r="549" spans="2:12" s="2" customFormat="1" x14ac:dyDescent="0.25">
      <c r="B549" s="6"/>
      <c r="C549" s="7"/>
      <c r="D549"/>
      <c r="E549"/>
      <c r="F549"/>
      <c r="G549"/>
      <c r="H549"/>
      <c r="I549"/>
      <c r="J549"/>
      <c r="K549"/>
      <c r="L549"/>
    </row>
    <row r="550" spans="2:12" s="2" customFormat="1" x14ac:dyDescent="0.25">
      <c r="B550" s="6"/>
      <c r="C550" s="7"/>
      <c r="D550"/>
      <c r="E550"/>
      <c r="F550"/>
      <c r="G550"/>
      <c r="H550"/>
      <c r="I550"/>
      <c r="J550"/>
      <c r="K550"/>
      <c r="L550"/>
    </row>
    <row r="551" spans="2:12" s="2" customFormat="1" x14ac:dyDescent="0.25">
      <c r="B551" s="6"/>
      <c r="C551" s="7"/>
      <c r="D551"/>
      <c r="E551"/>
      <c r="F551"/>
      <c r="G551"/>
      <c r="H551"/>
      <c r="I551"/>
      <c r="J551"/>
      <c r="K551"/>
      <c r="L551"/>
    </row>
    <row r="552" spans="2:12" s="2" customFormat="1" x14ac:dyDescent="0.25">
      <c r="B552" s="6"/>
      <c r="C552" s="7"/>
      <c r="D552"/>
      <c r="E552"/>
      <c r="F552"/>
      <c r="G552"/>
      <c r="H552"/>
      <c r="I552"/>
      <c r="J552"/>
      <c r="K552"/>
      <c r="L552"/>
    </row>
    <row r="553" spans="2:12" s="2" customFormat="1" x14ac:dyDescent="0.25">
      <c r="B553" s="6"/>
      <c r="C553" s="7"/>
      <c r="D553"/>
      <c r="E553"/>
      <c r="F553"/>
      <c r="G553"/>
      <c r="H553"/>
      <c r="I553"/>
      <c r="J553"/>
      <c r="K553"/>
      <c r="L553"/>
    </row>
    <row r="554" spans="2:12" s="2" customFormat="1" x14ac:dyDescent="0.25">
      <c r="B554" s="6"/>
      <c r="C554" s="7"/>
      <c r="D554"/>
      <c r="E554"/>
      <c r="F554"/>
      <c r="G554"/>
      <c r="H554"/>
      <c r="I554"/>
      <c r="J554"/>
      <c r="K554"/>
      <c r="L554"/>
    </row>
    <row r="555" spans="2:12" s="2" customFormat="1" x14ac:dyDescent="0.25">
      <c r="B555" s="6"/>
      <c r="C555" s="7"/>
      <c r="D555"/>
      <c r="E555"/>
      <c r="F555"/>
      <c r="G555"/>
      <c r="H555"/>
      <c r="I555"/>
      <c r="J555"/>
      <c r="K555"/>
      <c r="L555"/>
    </row>
    <row r="556" spans="2:12" s="2" customFormat="1" x14ac:dyDescent="0.25">
      <c r="B556" s="6"/>
      <c r="C556" s="7"/>
      <c r="D556"/>
      <c r="E556"/>
      <c r="F556"/>
      <c r="G556"/>
      <c r="H556"/>
      <c r="I556"/>
      <c r="J556"/>
      <c r="K556"/>
      <c r="L556"/>
    </row>
    <row r="557" spans="2:12" s="2" customFormat="1" x14ac:dyDescent="0.25">
      <c r="B557" s="6"/>
      <c r="C557" s="7"/>
      <c r="D557"/>
      <c r="E557"/>
      <c r="F557"/>
      <c r="G557"/>
      <c r="H557"/>
      <c r="I557"/>
      <c r="J557"/>
      <c r="K557"/>
      <c r="L557"/>
    </row>
    <row r="558" spans="2:12" s="2" customFormat="1" x14ac:dyDescent="0.25">
      <c r="B558" s="6"/>
      <c r="C558" s="7"/>
      <c r="D558"/>
      <c r="E558"/>
      <c r="F558"/>
      <c r="G558"/>
      <c r="H558"/>
      <c r="I558"/>
      <c r="J558"/>
      <c r="K558"/>
      <c r="L558"/>
    </row>
    <row r="559" spans="2:12" s="2" customFormat="1" x14ac:dyDescent="0.25">
      <c r="B559" s="6"/>
      <c r="C559" s="7"/>
      <c r="D559"/>
      <c r="E559"/>
      <c r="F559"/>
      <c r="G559"/>
      <c r="H559"/>
      <c r="I559"/>
      <c r="J559"/>
      <c r="K559"/>
      <c r="L559"/>
    </row>
    <row r="560" spans="2:12" s="2" customFormat="1" x14ac:dyDescent="0.25">
      <c r="B560" s="6"/>
      <c r="C560" s="7"/>
      <c r="D560"/>
      <c r="E560"/>
      <c r="F560"/>
      <c r="G560"/>
      <c r="H560"/>
      <c r="I560"/>
      <c r="J560"/>
      <c r="K560"/>
      <c r="L560"/>
    </row>
    <row r="561" spans="2:12" s="2" customFormat="1" x14ac:dyDescent="0.25">
      <c r="B561" s="6"/>
      <c r="C561" s="7"/>
      <c r="D561"/>
      <c r="E561"/>
      <c r="F561"/>
      <c r="G561"/>
      <c r="H561"/>
      <c r="I561"/>
      <c r="J561"/>
      <c r="K561"/>
      <c r="L561"/>
    </row>
    <row r="562" spans="2:12" s="2" customFormat="1" x14ac:dyDescent="0.25">
      <c r="B562" s="6"/>
      <c r="C562" s="7"/>
      <c r="D562"/>
      <c r="E562"/>
      <c r="F562"/>
      <c r="G562"/>
      <c r="H562"/>
      <c r="I562"/>
      <c r="J562"/>
      <c r="K562"/>
      <c r="L562"/>
    </row>
    <row r="563" spans="2:12" s="2" customFormat="1" x14ac:dyDescent="0.25">
      <c r="B563" s="6"/>
      <c r="C563" s="7"/>
      <c r="D563"/>
      <c r="E563"/>
      <c r="F563"/>
      <c r="G563"/>
      <c r="H563"/>
      <c r="I563"/>
      <c r="J563"/>
      <c r="K563"/>
      <c r="L563"/>
    </row>
    <row r="564" spans="2:12" s="2" customFormat="1" x14ac:dyDescent="0.25">
      <c r="B564" s="6"/>
      <c r="C564" s="7"/>
      <c r="D564"/>
      <c r="E564"/>
      <c r="F564"/>
      <c r="G564"/>
      <c r="H564"/>
      <c r="I564"/>
      <c r="J564"/>
      <c r="K564"/>
      <c r="L564"/>
    </row>
    <row r="565" spans="2:12" s="2" customFormat="1" x14ac:dyDescent="0.25">
      <c r="B565" s="6"/>
      <c r="C565" s="7"/>
      <c r="D565"/>
      <c r="E565"/>
      <c r="F565"/>
      <c r="G565"/>
      <c r="H565"/>
      <c r="I565"/>
      <c r="J565"/>
      <c r="K565"/>
      <c r="L565"/>
    </row>
    <row r="566" spans="2:12" s="2" customFormat="1" x14ac:dyDescent="0.25">
      <c r="B566" s="6"/>
      <c r="C566" s="7"/>
      <c r="D566"/>
      <c r="E566"/>
      <c r="F566"/>
      <c r="G566"/>
      <c r="H566"/>
      <c r="I566"/>
      <c r="J566"/>
      <c r="K566"/>
      <c r="L566"/>
    </row>
    <row r="567" spans="2:12" s="2" customFormat="1" x14ac:dyDescent="0.25">
      <c r="B567" s="6"/>
      <c r="C567" s="7"/>
      <c r="D567"/>
      <c r="E567"/>
      <c r="F567"/>
      <c r="G567"/>
      <c r="H567"/>
      <c r="I567"/>
      <c r="J567"/>
      <c r="K567"/>
      <c r="L567"/>
    </row>
    <row r="568" spans="2:12" s="2" customFormat="1" x14ac:dyDescent="0.25">
      <c r="B568" s="6"/>
      <c r="C568" s="7"/>
      <c r="D568"/>
      <c r="E568"/>
      <c r="F568"/>
      <c r="G568"/>
      <c r="H568"/>
      <c r="I568"/>
      <c r="J568"/>
      <c r="K568"/>
      <c r="L568"/>
    </row>
    <row r="569" spans="2:12" s="2" customFormat="1" x14ac:dyDescent="0.25">
      <c r="B569" s="6"/>
      <c r="C569" s="7"/>
      <c r="D569"/>
      <c r="E569"/>
      <c r="F569"/>
      <c r="G569"/>
      <c r="H569"/>
      <c r="I569"/>
      <c r="J569"/>
      <c r="K569"/>
      <c r="L569"/>
    </row>
    <row r="570" spans="2:12" s="2" customFormat="1" x14ac:dyDescent="0.25">
      <c r="B570" s="6"/>
      <c r="C570" s="7"/>
      <c r="D570"/>
      <c r="E570"/>
      <c r="F570"/>
      <c r="G570"/>
      <c r="H570"/>
      <c r="I570"/>
      <c r="J570"/>
      <c r="K570"/>
      <c r="L570"/>
    </row>
    <row r="571" spans="2:12" s="2" customFormat="1" x14ac:dyDescent="0.25">
      <c r="B571" s="6"/>
      <c r="C571" s="7"/>
      <c r="D571"/>
      <c r="E571"/>
      <c r="F571"/>
      <c r="G571"/>
      <c r="H571"/>
      <c r="I571"/>
      <c r="J571"/>
      <c r="K571"/>
      <c r="L571"/>
    </row>
    <row r="572" spans="2:12" s="2" customFormat="1" x14ac:dyDescent="0.25">
      <c r="B572" s="6"/>
      <c r="C572" s="7"/>
      <c r="D572"/>
      <c r="E572"/>
      <c r="F572"/>
      <c r="G572"/>
      <c r="H572"/>
      <c r="I572"/>
      <c r="J572"/>
      <c r="K572"/>
      <c r="L572"/>
    </row>
    <row r="573" spans="2:12" s="2" customFormat="1" x14ac:dyDescent="0.25">
      <c r="B573" s="6"/>
      <c r="C573" s="7"/>
      <c r="D573"/>
      <c r="E573"/>
      <c r="F573"/>
      <c r="G573"/>
      <c r="H573"/>
      <c r="I573"/>
      <c r="J573"/>
      <c r="K573"/>
      <c r="L573"/>
    </row>
    <row r="574" spans="2:12" s="2" customFormat="1" x14ac:dyDescent="0.25">
      <c r="B574" s="6"/>
      <c r="C574" s="7"/>
      <c r="D574"/>
      <c r="E574"/>
      <c r="F574"/>
      <c r="G574"/>
      <c r="H574"/>
      <c r="I574"/>
      <c r="J574"/>
      <c r="K574"/>
      <c r="L574"/>
    </row>
    <row r="575" spans="2:12" s="2" customFormat="1" x14ac:dyDescent="0.25">
      <c r="B575" s="6"/>
      <c r="C575" s="7"/>
      <c r="D575"/>
      <c r="E575"/>
      <c r="F575"/>
      <c r="G575"/>
      <c r="H575"/>
      <c r="I575"/>
      <c r="J575"/>
      <c r="K575"/>
      <c r="L575"/>
    </row>
    <row r="576" spans="2:12" s="2" customFormat="1" x14ac:dyDescent="0.25">
      <c r="B576" s="6"/>
      <c r="C576" s="7"/>
      <c r="D576"/>
      <c r="E576"/>
      <c r="F576"/>
      <c r="G576"/>
      <c r="H576"/>
      <c r="I576"/>
      <c r="J576"/>
      <c r="K576"/>
      <c r="L576"/>
    </row>
    <row r="577" spans="2:12" s="2" customFormat="1" x14ac:dyDescent="0.25">
      <c r="B577" s="6"/>
      <c r="C577" s="7"/>
      <c r="D577"/>
      <c r="E577"/>
      <c r="F577"/>
      <c r="G577"/>
      <c r="H577"/>
      <c r="I577"/>
      <c r="J577"/>
      <c r="K577"/>
      <c r="L577"/>
    </row>
    <row r="578" spans="2:12" s="2" customFormat="1" x14ac:dyDescent="0.25">
      <c r="B578" s="6"/>
      <c r="C578" s="7"/>
      <c r="D578"/>
      <c r="E578"/>
      <c r="F578"/>
      <c r="G578"/>
      <c r="H578"/>
      <c r="I578"/>
      <c r="J578"/>
      <c r="K578"/>
      <c r="L578"/>
    </row>
    <row r="579" spans="2:12" s="2" customFormat="1" x14ac:dyDescent="0.25">
      <c r="B579" s="6"/>
      <c r="C579" s="7"/>
      <c r="D579"/>
      <c r="E579"/>
      <c r="F579"/>
      <c r="G579"/>
      <c r="H579"/>
      <c r="I579"/>
      <c r="J579"/>
      <c r="K579"/>
      <c r="L579"/>
    </row>
    <row r="580" spans="2:12" s="2" customFormat="1" x14ac:dyDescent="0.25">
      <c r="B580" s="6"/>
      <c r="C580" s="7"/>
      <c r="D580"/>
      <c r="E580"/>
      <c r="F580"/>
      <c r="G580"/>
      <c r="H580"/>
      <c r="I580"/>
      <c r="J580"/>
      <c r="K580"/>
      <c r="L580"/>
    </row>
    <row r="581" spans="2:12" s="2" customFormat="1" x14ac:dyDescent="0.25">
      <c r="B581" s="6"/>
      <c r="C581" s="7"/>
      <c r="D581"/>
      <c r="E581"/>
      <c r="F581"/>
      <c r="G581"/>
      <c r="H581"/>
      <c r="I581"/>
      <c r="J581"/>
      <c r="K581"/>
      <c r="L581"/>
    </row>
    <row r="582" spans="2:12" s="2" customFormat="1" x14ac:dyDescent="0.25">
      <c r="B582" s="6"/>
      <c r="C582" s="7"/>
      <c r="D582"/>
      <c r="E582"/>
      <c r="F582"/>
      <c r="G582"/>
      <c r="H582"/>
      <c r="I582"/>
      <c r="J582"/>
      <c r="K582"/>
      <c r="L582"/>
    </row>
    <row r="583" spans="2:12" s="2" customFormat="1" x14ac:dyDescent="0.25">
      <c r="B583" s="6"/>
      <c r="C583" s="7"/>
      <c r="D583"/>
      <c r="E583"/>
      <c r="F583"/>
      <c r="G583"/>
      <c r="H583"/>
      <c r="I583"/>
      <c r="J583"/>
      <c r="K583"/>
      <c r="L583"/>
    </row>
    <row r="584" spans="2:12" s="2" customFormat="1" x14ac:dyDescent="0.25">
      <c r="B584" s="6"/>
      <c r="C584" s="7"/>
      <c r="D584"/>
      <c r="E584"/>
      <c r="F584"/>
      <c r="G584"/>
      <c r="H584"/>
      <c r="I584"/>
      <c r="J584"/>
      <c r="K584"/>
      <c r="L584"/>
    </row>
    <row r="585" spans="2:12" s="2" customFormat="1" x14ac:dyDescent="0.25">
      <c r="B585" s="6"/>
      <c r="C585" s="7"/>
      <c r="D585"/>
      <c r="E585"/>
      <c r="F585"/>
      <c r="G585"/>
      <c r="H585"/>
      <c r="I585"/>
      <c r="J585"/>
      <c r="K585"/>
      <c r="L585"/>
    </row>
    <row r="586" spans="2:12" s="2" customFormat="1" x14ac:dyDescent="0.25">
      <c r="B586" s="6"/>
      <c r="C586" s="7"/>
      <c r="D586"/>
      <c r="E586"/>
      <c r="F586"/>
      <c r="G586"/>
      <c r="H586"/>
      <c r="I586"/>
      <c r="J586"/>
      <c r="K586"/>
      <c r="L586"/>
    </row>
    <row r="587" spans="2:12" s="2" customFormat="1" x14ac:dyDescent="0.25">
      <c r="B587" s="6"/>
      <c r="C587" s="7"/>
      <c r="D587"/>
      <c r="E587"/>
      <c r="F587"/>
      <c r="G587"/>
      <c r="H587"/>
      <c r="I587"/>
      <c r="J587"/>
      <c r="K587"/>
      <c r="L587"/>
    </row>
    <row r="588" spans="2:12" s="2" customFormat="1" x14ac:dyDescent="0.25">
      <c r="B588" s="6"/>
      <c r="C588" s="7"/>
      <c r="D588"/>
      <c r="E588"/>
      <c r="F588"/>
      <c r="G588"/>
      <c r="H588"/>
      <c r="I588"/>
      <c r="J588"/>
      <c r="K588"/>
      <c r="L588"/>
    </row>
    <row r="589" spans="2:12" s="2" customFormat="1" x14ac:dyDescent="0.25">
      <c r="B589" s="6"/>
      <c r="C589" s="7"/>
      <c r="D589"/>
      <c r="E589"/>
      <c r="F589"/>
      <c r="G589"/>
      <c r="H589"/>
      <c r="I589"/>
      <c r="J589"/>
      <c r="K589"/>
      <c r="L589"/>
    </row>
    <row r="590" spans="2:12" s="2" customFormat="1" x14ac:dyDescent="0.25">
      <c r="B590" s="6"/>
      <c r="C590" s="7"/>
      <c r="D590"/>
      <c r="E590"/>
      <c r="F590"/>
      <c r="G590"/>
      <c r="H590"/>
      <c r="I590"/>
      <c r="J590"/>
      <c r="K590"/>
      <c r="L590"/>
    </row>
    <row r="591" spans="2:12" s="2" customFormat="1" x14ac:dyDescent="0.25">
      <c r="B591" s="6"/>
      <c r="C591" s="7"/>
      <c r="D591"/>
      <c r="E591"/>
      <c r="F591"/>
      <c r="G591"/>
      <c r="H591"/>
      <c r="I591"/>
      <c r="J591"/>
      <c r="K591"/>
      <c r="L591"/>
    </row>
    <row r="592" spans="2:12" s="2" customFormat="1" x14ac:dyDescent="0.25">
      <c r="B592" s="6"/>
      <c r="C592" s="7"/>
      <c r="D592"/>
      <c r="E592"/>
      <c r="F592"/>
      <c r="G592"/>
      <c r="H592"/>
      <c r="I592"/>
      <c r="J592"/>
      <c r="K592"/>
      <c r="L592"/>
    </row>
    <row r="593" spans="2:12" s="2" customFormat="1" x14ac:dyDescent="0.25">
      <c r="B593" s="6"/>
      <c r="C593" s="7"/>
      <c r="D593"/>
      <c r="E593"/>
      <c r="F593"/>
      <c r="G593"/>
      <c r="H593"/>
      <c r="I593"/>
      <c r="J593"/>
      <c r="K593"/>
      <c r="L593"/>
    </row>
    <row r="594" spans="2:12" s="2" customFormat="1" x14ac:dyDescent="0.25">
      <c r="B594" s="6"/>
      <c r="C594" s="7"/>
      <c r="D594"/>
      <c r="E594"/>
      <c r="F594"/>
      <c r="G594"/>
      <c r="H594"/>
      <c r="I594"/>
      <c r="J594"/>
      <c r="K594"/>
      <c r="L594"/>
    </row>
    <row r="595" spans="2:12" s="2" customFormat="1" x14ac:dyDescent="0.25">
      <c r="B595" s="6"/>
      <c r="C595" s="7"/>
      <c r="D595"/>
      <c r="E595"/>
      <c r="F595"/>
      <c r="G595"/>
      <c r="H595"/>
      <c r="I595"/>
      <c r="J595"/>
      <c r="K595"/>
      <c r="L595"/>
    </row>
    <row r="596" spans="2:12" s="2" customFormat="1" x14ac:dyDescent="0.25">
      <c r="B596" s="6"/>
      <c r="C596" s="7"/>
      <c r="D596"/>
      <c r="E596"/>
      <c r="F596"/>
      <c r="G596"/>
      <c r="H596"/>
      <c r="I596"/>
      <c r="J596"/>
      <c r="K596"/>
      <c r="L596"/>
    </row>
    <row r="597" spans="2:12" s="2" customFormat="1" x14ac:dyDescent="0.25">
      <c r="B597" s="6"/>
      <c r="C597" s="7"/>
      <c r="D597"/>
      <c r="E597"/>
      <c r="F597"/>
      <c r="G597"/>
      <c r="H597"/>
      <c r="I597"/>
      <c r="J597"/>
      <c r="K597"/>
      <c r="L597"/>
    </row>
    <row r="598" spans="2:12" s="2" customFormat="1" x14ac:dyDescent="0.25">
      <c r="B598" s="6"/>
      <c r="C598" s="7"/>
      <c r="D598"/>
      <c r="E598"/>
      <c r="F598"/>
      <c r="G598"/>
      <c r="H598"/>
      <c r="I598"/>
      <c r="J598"/>
      <c r="K598"/>
      <c r="L598"/>
    </row>
    <row r="599" spans="2:12" s="2" customFormat="1" x14ac:dyDescent="0.25">
      <c r="B599" s="6"/>
      <c r="C599" s="7"/>
      <c r="D599"/>
      <c r="E599"/>
      <c r="F599"/>
      <c r="G599"/>
      <c r="H599"/>
      <c r="I599"/>
      <c r="J599"/>
      <c r="K599"/>
      <c r="L599"/>
    </row>
    <row r="600" spans="2:12" s="2" customFormat="1" x14ac:dyDescent="0.25">
      <c r="B600" s="6"/>
      <c r="C600" s="7"/>
      <c r="D600"/>
      <c r="E600"/>
      <c r="F600"/>
      <c r="G600"/>
      <c r="H600"/>
      <c r="I600"/>
      <c r="J600"/>
      <c r="K600"/>
      <c r="L600"/>
    </row>
    <row r="601" spans="2:12" s="2" customFormat="1" x14ac:dyDescent="0.25">
      <c r="B601" s="6"/>
      <c r="C601" s="7"/>
      <c r="D601"/>
      <c r="E601"/>
      <c r="F601"/>
      <c r="G601"/>
      <c r="H601"/>
      <c r="I601"/>
      <c r="J601"/>
      <c r="K601"/>
      <c r="L601"/>
    </row>
    <row r="602" spans="2:12" s="2" customFormat="1" x14ac:dyDescent="0.25">
      <c r="B602" s="6"/>
      <c r="C602" s="7"/>
      <c r="D602"/>
      <c r="E602"/>
      <c r="F602"/>
      <c r="G602"/>
      <c r="H602"/>
      <c r="I602"/>
      <c r="J602"/>
      <c r="K602"/>
      <c r="L602"/>
    </row>
    <row r="603" spans="2:12" s="2" customFormat="1" x14ac:dyDescent="0.25">
      <c r="B603" s="6"/>
      <c r="C603" s="7"/>
      <c r="D603"/>
      <c r="E603"/>
      <c r="F603"/>
      <c r="G603"/>
      <c r="H603"/>
      <c r="I603"/>
      <c r="J603"/>
      <c r="K603"/>
      <c r="L603"/>
    </row>
    <row r="604" spans="2:12" s="2" customFormat="1" x14ac:dyDescent="0.25">
      <c r="B604" s="6"/>
      <c r="C604" s="7"/>
      <c r="D604"/>
      <c r="E604"/>
      <c r="F604"/>
      <c r="G604"/>
      <c r="H604"/>
      <c r="I604"/>
      <c r="J604"/>
      <c r="K604"/>
      <c r="L604"/>
    </row>
    <row r="605" spans="2:12" s="2" customFormat="1" x14ac:dyDescent="0.25">
      <c r="B605" s="6"/>
      <c r="C605" s="7"/>
      <c r="D605"/>
      <c r="E605"/>
      <c r="F605"/>
      <c r="G605"/>
      <c r="H605"/>
      <c r="I605"/>
      <c r="J605"/>
      <c r="K605"/>
      <c r="L605"/>
    </row>
    <row r="606" spans="2:12" s="2" customFormat="1" x14ac:dyDescent="0.25">
      <c r="B606" s="6"/>
      <c r="C606" s="7"/>
      <c r="D606"/>
      <c r="E606"/>
      <c r="F606"/>
      <c r="G606"/>
      <c r="H606"/>
      <c r="I606"/>
      <c r="J606"/>
      <c r="K606"/>
      <c r="L606"/>
    </row>
    <row r="607" spans="2:12" s="2" customFormat="1" x14ac:dyDescent="0.25">
      <c r="B607" s="6"/>
      <c r="C607" s="7"/>
      <c r="D607"/>
      <c r="E607"/>
      <c r="F607"/>
      <c r="G607"/>
      <c r="H607"/>
      <c r="I607"/>
      <c r="J607"/>
      <c r="K607"/>
      <c r="L607"/>
    </row>
    <row r="608" spans="2:12" s="2" customFormat="1" x14ac:dyDescent="0.25">
      <c r="B608" s="6"/>
      <c r="C608" s="7"/>
      <c r="D608"/>
      <c r="E608"/>
      <c r="F608"/>
      <c r="G608"/>
      <c r="H608"/>
      <c r="I608"/>
      <c r="J608"/>
      <c r="K608"/>
      <c r="L608"/>
    </row>
    <row r="609" spans="2:12" s="2" customFormat="1" x14ac:dyDescent="0.25">
      <c r="B609" s="6"/>
      <c r="C609" s="7"/>
      <c r="D609"/>
      <c r="E609"/>
      <c r="F609"/>
      <c r="G609"/>
      <c r="H609"/>
      <c r="I609"/>
      <c r="J609"/>
      <c r="K609"/>
      <c r="L609"/>
    </row>
    <row r="610" spans="2:12" s="2" customFormat="1" x14ac:dyDescent="0.25">
      <c r="B610" s="6"/>
      <c r="C610" s="7"/>
      <c r="D610"/>
      <c r="E610"/>
      <c r="F610"/>
      <c r="G610"/>
      <c r="H610"/>
      <c r="I610"/>
      <c r="J610"/>
      <c r="K610"/>
      <c r="L610"/>
    </row>
    <row r="611" spans="2:12" s="2" customFormat="1" x14ac:dyDescent="0.25">
      <c r="B611" s="6"/>
      <c r="C611" s="7"/>
      <c r="D611"/>
      <c r="E611"/>
      <c r="F611"/>
      <c r="G611"/>
      <c r="H611"/>
      <c r="I611"/>
      <c r="J611"/>
      <c r="K611"/>
      <c r="L611"/>
    </row>
    <row r="612" spans="2:12" s="2" customFormat="1" x14ac:dyDescent="0.25">
      <c r="B612" s="6"/>
      <c r="C612" s="7"/>
      <c r="D612"/>
      <c r="E612"/>
      <c r="F612"/>
      <c r="G612"/>
      <c r="H612"/>
      <c r="I612"/>
      <c r="J612"/>
      <c r="K612"/>
      <c r="L612"/>
    </row>
    <row r="613" spans="2:12" s="2" customFormat="1" x14ac:dyDescent="0.25">
      <c r="B613" s="6"/>
      <c r="C613" s="7"/>
      <c r="D613"/>
      <c r="E613"/>
      <c r="F613"/>
      <c r="G613"/>
      <c r="H613"/>
      <c r="I613"/>
      <c r="J613"/>
      <c r="K613"/>
      <c r="L613"/>
    </row>
    <row r="614" spans="2:12" s="2" customFormat="1" x14ac:dyDescent="0.25">
      <c r="B614" s="6"/>
      <c r="C614" s="7"/>
      <c r="D614"/>
      <c r="E614"/>
      <c r="F614"/>
      <c r="G614"/>
      <c r="H614"/>
      <c r="I614"/>
      <c r="J614"/>
      <c r="K614"/>
      <c r="L614"/>
    </row>
    <row r="615" spans="2:12" s="2" customFormat="1" x14ac:dyDescent="0.25">
      <c r="B615" s="6"/>
      <c r="C615" s="7"/>
      <c r="D615"/>
      <c r="E615"/>
      <c r="F615"/>
      <c r="G615"/>
      <c r="H615"/>
      <c r="I615"/>
      <c r="J615"/>
      <c r="K615"/>
      <c r="L615"/>
    </row>
    <row r="616" spans="2:12" s="2" customFormat="1" x14ac:dyDescent="0.25">
      <c r="B616" s="6"/>
      <c r="C616" s="7"/>
      <c r="D616"/>
      <c r="E616"/>
      <c r="F616"/>
      <c r="G616"/>
      <c r="H616"/>
      <c r="I616"/>
      <c r="J616"/>
      <c r="K616"/>
      <c r="L616"/>
    </row>
    <row r="617" spans="2:12" s="2" customFormat="1" x14ac:dyDescent="0.25">
      <c r="B617" s="6"/>
      <c r="C617" s="7"/>
      <c r="D617"/>
      <c r="E617"/>
      <c r="F617"/>
      <c r="G617"/>
      <c r="H617"/>
      <c r="I617"/>
      <c r="J617"/>
      <c r="K617"/>
      <c r="L617"/>
    </row>
    <row r="618" spans="2:12" s="2" customFormat="1" x14ac:dyDescent="0.25">
      <c r="B618" s="6"/>
      <c r="C618" s="7"/>
      <c r="D618"/>
      <c r="E618"/>
      <c r="F618"/>
      <c r="G618"/>
      <c r="H618"/>
      <c r="I618"/>
      <c r="J618"/>
      <c r="K618"/>
      <c r="L618"/>
    </row>
    <row r="619" spans="2:12" s="2" customFormat="1" x14ac:dyDescent="0.25">
      <c r="B619" s="6"/>
      <c r="C619" s="7"/>
      <c r="D619"/>
      <c r="E619"/>
      <c r="F619"/>
      <c r="G619"/>
      <c r="H619"/>
      <c r="I619"/>
      <c r="J619"/>
      <c r="K619"/>
      <c r="L619"/>
    </row>
    <row r="620" spans="2:12" s="2" customFormat="1" x14ac:dyDescent="0.25">
      <c r="B620" s="6"/>
      <c r="C620" s="7"/>
      <c r="D620"/>
      <c r="E620"/>
      <c r="F620"/>
      <c r="G620"/>
      <c r="H620"/>
      <c r="I620"/>
      <c r="J620"/>
      <c r="K620"/>
      <c r="L620"/>
    </row>
    <row r="621" spans="2:12" s="2" customFormat="1" x14ac:dyDescent="0.25">
      <c r="B621" s="6"/>
      <c r="C621" s="7"/>
      <c r="D621"/>
      <c r="E621"/>
      <c r="F621"/>
      <c r="G621"/>
      <c r="H621"/>
      <c r="I621"/>
      <c r="J621"/>
      <c r="K621"/>
      <c r="L621"/>
    </row>
    <row r="622" spans="2:12" s="2" customFormat="1" x14ac:dyDescent="0.25">
      <c r="B622" s="6"/>
      <c r="C622" s="7"/>
      <c r="D622"/>
      <c r="E622"/>
      <c r="F622"/>
      <c r="G622"/>
      <c r="H622"/>
      <c r="I622"/>
      <c r="J622"/>
      <c r="K622"/>
      <c r="L622"/>
    </row>
    <row r="623" spans="2:12" s="2" customFormat="1" x14ac:dyDescent="0.25">
      <c r="B623" s="6"/>
      <c r="C623" s="7"/>
      <c r="D623"/>
      <c r="E623"/>
      <c r="F623"/>
      <c r="G623"/>
      <c r="H623"/>
      <c r="I623"/>
      <c r="J623"/>
      <c r="K623"/>
      <c r="L623"/>
    </row>
    <row r="624" spans="2:12" s="2" customFormat="1" x14ac:dyDescent="0.25">
      <c r="B624" s="6"/>
      <c r="C624" s="7"/>
      <c r="D624"/>
      <c r="E624"/>
      <c r="F624"/>
      <c r="G624"/>
      <c r="H624"/>
      <c r="I624"/>
      <c r="J624"/>
      <c r="K624"/>
      <c r="L624"/>
    </row>
    <row r="625" spans="2:12" s="2" customFormat="1" x14ac:dyDescent="0.25">
      <c r="B625" s="6"/>
      <c r="C625" s="7"/>
      <c r="D625"/>
      <c r="E625"/>
      <c r="F625"/>
      <c r="G625"/>
      <c r="H625"/>
      <c r="I625"/>
      <c r="J625"/>
      <c r="K625"/>
      <c r="L625"/>
    </row>
    <row r="626" spans="2:12" s="2" customFormat="1" x14ac:dyDescent="0.25">
      <c r="B626" s="6"/>
      <c r="C626" s="7"/>
      <c r="D626"/>
      <c r="E626"/>
      <c r="F626"/>
      <c r="G626"/>
      <c r="H626"/>
      <c r="I626"/>
      <c r="J626"/>
      <c r="K626"/>
      <c r="L626"/>
    </row>
    <row r="627" spans="2:12" s="2" customFormat="1" x14ac:dyDescent="0.25">
      <c r="B627" s="6"/>
      <c r="C627" s="7"/>
      <c r="D627"/>
      <c r="E627"/>
      <c r="F627"/>
      <c r="G627"/>
      <c r="H627"/>
      <c r="I627"/>
      <c r="J627"/>
      <c r="K627"/>
      <c r="L627"/>
    </row>
    <row r="628" spans="2:12" s="2" customFormat="1" x14ac:dyDescent="0.25">
      <c r="B628" s="6"/>
      <c r="C628" s="7"/>
      <c r="D628"/>
      <c r="E628"/>
      <c r="F628"/>
      <c r="G628"/>
      <c r="H628"/>
      <c r="I628"/>
      <c r="J628"/>
      <c r="K628"/>
      <c r="L628"/>
    </row>
    <row r="629" spans="2:12" s="2" customFormat="1" x14ac:dyDescent="0.25">
      <c r="B629" s="6"/>
      <c r="C629" s="7"/>
      <c r="D629"/>
      <c r="E629"/>
      <c r="F629"/>
      <c r="G629"/>
      <c r="H629"/>
      <c r="I629"/>
      <c r="J629"/>
      <c r="K629"/>
      <c r="L629"/>
    </row>
    <row r="630" spans="2:12" s="2" customFormat="1" x14ac:dyDescent="0.25">
      <c r="B630" s="6"/>
      <c r="C630" s="7"/>
      <c r="D630"/>
      <c r="E630"/>
      <c r="F630"/>
      <c r="G630"/>
      <c r="H630"/>
      <c r="I630"/>
      <c r="J630"/>
      <c r="K630"/>
      <c r="L630"/>
    </row>
    <row r="631" spans="2:12" s="2" customFormat="1" x14ac:dyDescent="0.25">
      <c r="B631" s="6"/>
      <c r="C631" s="7"/>
      <c r="D631"/>
      <c r="E631"/>
      <c r="F631"/>
      <c r="G631"/>
      <c r="H631"/>
      <c r="I631"/>
      <c r="J631"/>
      <c r="K631"/>
      <c r="L631"/>
    </row>
    <row r="632" spans="2:12" s="2" customFormat="1" x14ac:dyDescent="0.25">
      <c r="B632" s="6"/>
      <c r="C632" s="7"/>
      <c r="D632"/>
      <c r="E632"/>
      <c r="F632"/>
      <c r="G632"/>
      <c r="H632"/>
      <c r="I632"/>
      <c r="J632"/>
      <c r="K632"/>
      <c r="L632"/>
    </row>
    <row r="633" spans="2:12" s="2" customFormat="1" x14ac:dyDescent="0.25">
      <c r="B633" s="6"/>
      <c r="C633" s="7"/>
      <c r="D633"/>
      <c r="E633"/>
      <c r="F633"/>
      <c r="G633"/>
      <c r="H633"/>
      <c r="I633"/>
      <c r="J633"/>
      <c r="K633"/>
      <c r="L633"/>
    </row>
    <row r="634" spans="2:12" s="2" customFormat="1" x14ac:dyDescent="0.25">
      <c r="B634" s="6"/>
      <c r="C634" s="7"/>
      <c r="D634"/>
      <c r="E634"/>
      <c r="F634"/>
      <c r="G634"/>
      <c r="H634"/>
      <c r="I634"/>
      <c r="J634"/>
      <c r="K634"/>
      <c r="L634"/>
    </row>
    <row r="635" spans="2:12" s="2" customFormat="1" x14ac:dyDescent="0.25">
      <c r="B635" s="6"/>
      <c r="C635" s="7"/>
      <c r="D635"/>
      <c r="E635"/>
      <c r="F635"/>
      <c r="G635"/>
      <c r="H635"/>
      <c r="I635"/>
      <c r="J635"/>
      <c r="K635"/>
      <c r="L635"/>
    </row>
    <row r="636" spans="2:12" s="2" customFormat="1" x14ac:dyDescent="0.25">
      <c r="B636" s="6"/>
      <c r="C636" s="7"/>
      <c r="D636"/>
      <c r="E636"/>
      <c r="F636"/>
      <c r="G636"/>
      <c r="H636"/>
      <c r="I636"/>
      <c r="J636"/>
      <c r="K636"/>
      <c r="L636"/>
    </row>
    <row r="637" spans="2:12" s="2" customFormat="1" x14ac:dyDescent="0.25">
      <c r="B637" s="6"/>
      <c r="C637" s="7"/>
      <c r="D637"/>
      <c r="E637"/>
      <c r="F637"/>
      <c r="G637"/>
      <c r="H637"/>
      <c r="I637"/>
      <c r="J637"/>
      <c r="K637"/>
      <c r="L637"/>
    </row>
    <row r="638" spans="2:12" s="2" customFormat="1" x14ac:dyDescent="0.25">
      <c r="B638" s="6"/>
      <c r="C638" s="7"/>
      <c r="D638"/>
      <c r="E638"/>
      <c r="F638"/>
      <c r="G638"/>
      <c r="H638"/>
      <c r="I638"/>
      <c r="J638"/>
      <c r="K638"/>
      <c r="L638"/>
    </row>
    <row r="639" spans="2:12" s="2" customFormat="1" x14ac:dyDescent="0.25">
      <c r="B639" s="6"/>
      <c r="C639" s="7"/>
      <c r="D639"/>
      <c r="E639"/>
      <c r="F639"/>
      <c r="G639"/>
      <c r="H639"/>
      <c r="I639"/>
      <c r="J639"/>
      <c r="K639"/>
      <c r="L639"/>
    </row>
    <row r="640" spans="2:12" s="2" customFormat="1" x14ac:dyDescent="0.25">
      <c r="B640" s="6"/>
      <c r="C640" s="7"/>
      <c r="D640"/>
      <c r="E640"/>
      <c r="F640"/>
      <c r="G640"/>
      <c r="H640"/>
      <c r="I640"/>
      <c r="J640"/>
      <c r="K640"/>
      <c r="L640"/>
    </row>
    <row r="641" spans="2:12" s="2" customFormat="1" x14ac:dyDescent="0.25">
      <c r="B641" s="6"/>
      <c r="C641" s="7"/>
      <c r="D641"/>
      <c r="E641"/>
      <c r="F641"/>
      <c r="G641"/>
      <c r="H641"/>
      <c r="I641"/>
      <c r="J641"/>
      <c r="K641"/>
      <c r="L641"/>
    </row>
    <row r="642" spans="2:12" s="2" customFormat="1" x14ac:dyDescent="0.25">
      <c r="B642" s="6"/>
      <c r="C642" s="7"/>
      <c r="D642"/>
      <c r="E642"/>
      <c r="F642"/>
      <c r="G642"/>
      <c r="H642"/>
      <c r="I642"/>
      <c r="J642"/>
      <c r="K642"/>
      <c r="L642"/>
    </row>
    <row r="643" spans="2:12" s="2" customFormat="1" x14ac:dyDescent="0.25">
      <c r="B643" s="6"/>
      <c r="C643" s="7"/>
      <c r="D643"/>
      <c r="E643"/>
      <c r="F643"/>
      <c r="G643"/>
      <c r="H643"/>
      <c r="I643"/>
      <c r="J643"/>
      <c r="K643"/>
      <c r="L643"/>
    </row>
    <row r="644" spans="2:12" s="2" customFormat="1" x14ac:dyDescent="0.25">
      <c r="B644" s="6"/>
      <c r="C644" s="7"/>
      <c r="D644"/>
      <c r="E644"/>
      <c r="F644"/>
      <c r="G644"/>
      <c r="H644"/>
      <c r="I644"/>
      <c r="J644"/>
      <c r="K644"/>
      <c r="L644"/>
    </row>
    <row r="645" spans="2:12" s="2" customFormat="1" x14ac:dyDescent="0.25">
      <c r="B645" s="6"/>
      <c r="C645" s="7"/>
      <c r="D645"/>
      <c r="E645"/>
      <c r="F645"/>
      <c r="G645"/>
      <c r="H645"/>
      <c r="I645"/>
      <c r="J645"/>
      <c r="K645"/>
      <c r="L645"/>
    </row>
    <row r="646" spans="2:12" s="2" customFormat="1" x14ac:dyDescent="0.25">
      <c r="B646" s="6"/>
      <c r="C646" s="7"/>
      <c r="D646"/>
      <c r="E646"/>
      <c r="F646"/>
      <c r="G646"/>
      <c r="H646"/>
      <c r="I646"/>
      <c r="J646"/>
      <c r="K646"/>
      <c r="L646"/>
    </row>
    <row r="647" spans="2:12" s="2" customFormat="1" x14ac:dyDescent="0.25">
      <c r="B647" s="6"/>
      <c r="C647" s="7"/>
      <c r="D647"/>
      <c r="E647"/>
      <c r="F647"/>
      <c r="G647"/>
      <c r="H647"/>
      <c r="I647"/>
      <c r="J647"/>
      <c r="K647"/>
      <c r="L647"/>
    </row>
    <row r="648" spans="2:12" s="2" customFormat="1" x14ac:dyDescent="0.25">
      <c r="B648" s="6"/>
      <c r="C648" s="7"/>
      <c r="D648"/>
      <c r="E648"/>
      <c r="F648"/>
      <c r="G648"/>
      <c r="H648"/>
      <c r="I648"/>
      <c r="J648"/>
      <c r="K648"/>
      <c r="L648"/>
    </row>
    <row r="649" spans="2:12" s="2" customFormat="1" x14ac:dyDescent="0.25">
      <c r="B649" s="6"/>
      <c r="C649" s="7"/>
      <c r="D649"/>
      <c r="E649"/>
      <c r="F649"/>
      <c r="G649"/>
      <c r="H649"/>
      <c r="I649"/>
      <c r="J649"/>
      <c r="K649"/>
      <c r="L649"/>
    </row>
    <row r="650" spans="2:12" s="2" customFormat="1" x14ac:dyDescent="0.25">
      <c r="B650" s="6"/>
      <c r="C650" s="7"/>
      <c r="D650"/>
      <c r="E650"/>
      <c r="F650"/>
      <c r="G650"/>
      <c r="H650"/>
      <c r="I650"/>
      <c r="J650"/>
      <c r="K650"/>
      <c r="L650"/>
    </row>
    <row r="651" spans="2:12" s="2" customFormat="1" x14ac:dyDescent="0.25">
      <c r="B651" s="6"/>
      <c r="C651" s="7"/>
      <c r="D651"/>
      <c r="E651"/>
      <c r="F651"/>
      <c r="G651"/>
      <c r="H651"/>
      <c r="I651"/>
      <c r="J651"/>
      <c r="K651"/>
      <c r="L651"/>
    </row>
    <row r="652" spans="2:12" s="2" customFormat="1" x14ac:dyDescent="0.25">
      <c r="B652" s="6"/>
      <c r="C652" s="7"/>
      <c r="D652"/>
      <c r="E652"/>
      <c r="F652"/>
      <c r="G652"/>
      <c r="H652"/>
      <c r="I652"/>
      <c r="J652"/>
      <c r="K652"/>
      <c r="L652"/>
    </row>
    <row r="653" spans="2:12" s="2" customFormat="1" x14ac:dyDescent="0.25">
      <c r="B653" s="6"/>
      <c r="C653" s="7"/>
      <c r="D653"/>
      <c r="E653"/>
      <c r="F653"/>
      <c r="G653"/>
      <c r="H653"/>
      <c r="I653"/>
      <c r="J653"/>
      <c r="K653"/>
      <c r="L653"/>
    </row>
    <row r="654" spans="2:12" s="2" customFormat="1" x14ac:dyDescent="0.25">
      <c r="B654" s="6"/>
      <c r="C654" s="7"/>
      <c r="D654"/>
      <c r="E654"/>
      <c r="F654"/>
      <c r="G654"/>
      <c r="H654"/>
      <c r="I654"/>
      <c r="J654"/>
      <c r="K654"/>
      <c r="L654"/>
    </row>
    <row r="655" spans="2:12" s="2" customFormat="1" x14ac:dyDescent="0.25">
      <c r="B655" s="6"/>
      <c r="C655" s="7"/>
      <c r="D655"/>
      <c r="E655"/>
      <c r="F655"/>
      <c r="G655"/>
      <c r="H655"/>
      <c r="I655"/>
      <c r="J655"/>
      <c r="K655"/>
      <c r="L655"/>
    </row>
    <row r="656" spans="2:12" s="2" customFormat="1" x14ac:dyDescent="0.25">
      <c r="B656" s="6"/>
      <c r="C656" s="7"/>
      <c r="D656"/>
      <c r="E656"/>
      <c r="F656"/>
      <c r="G656"/>
      <c r="H656"/>
      <c r="I656"/>
      <c r="J656"/>
      <c r="K656"/>
      <c r="L656"/>
    </row>
    <row r="657" spans="2:12" s="2" customFormat="1" x14ac:dyDescent="0.25">
      <c r="B657" s="6"/>
      <c r="C657" s="7"/>
      <c r="D657"/>
      <c r="E657"/>
      <c r="F657"/>
      <c r="G657"/>
      <c r="H657"/>
      <c r="I657"/>
      <c r="J657"/>
      <c r="K657"/>
      <c r="L657"/>
    </row>
    <row r="658" spans="2:12" s="2" customFormat="1" x14ac:dyDescent="0.25">
      <c r="B658" s="6"/>
      <c r="C658" s="7"/>
      <c r="D658"/>
      <c r="E658"/>
      <c r="F658"/>
      <c r="G658"/>
      <c r="H658"/>
      <c r="I658"/>
      <c r="J658"/>
      <c r="K658"/>
      <c r="L658"/>
    </row>
    <row r="659" spans="2:12" s="2" customFormat="1" x14ac:dyDescent="0.25">
      <c r="B659" s="6"/>
      <c r="C659" s="7"/>
      <c r="D659"/>
      <c r="E659"/>
      <c r="F659"/>
      <c r="G659"/>
      <c r="H659"/>
      <c r="I659"/>
      <c r="J659"/>
      <c r="K659"/>
      <c r="L659"/>
    </row>
    <row r="660" spans="2:12" s="2" customFormat="1" x14ac:dyDescent="0.25">
      <c r="B660" s="6"/>
      <c r="C660" s="7"/>
      <c r="D660"/>
      <c r="E660"/>
      <c r="F660"/>
      <c r="G660"/>
      <c r="H660"/>
      <c r="I660"/>
      <c r="J660"/>
      <c r="K660"/>
      <c r="L660"/>
    </row>
    <row r="661" spans="2:12" s="2" customFormat="1" x14ac:dyDescent="0.25">
      <c r="B661" s="6"/>
      <c r="C661" s="7"/>
      <c r="D661"/>
      <c r="E661"/>
      <c r="F661"/>
      <c r="G661"/>
      <c r="H661"/>
      <c r="I661"/>
      <c r="J661"/>
      <c r="K661"/>
      <c r="L661"/>
    </row>
    <row r="662" spans="2:12" s="2" customFormat="1" x14ac:dyDescent="0.25">
      <c r="B662" s="6"/>
      <c r="C662" s="7"/>
      <c r="D662"/>
      <c r="E662"/>
      <c r="F662"/>
      <c r="G662"/>
      <c r="H662"/>
      <c r="I662"/>
      <c r="J662"/>
      <c r="K662"/>
      <c r="L662"/>
    </row>
    <row r="663" spans="2:12" s="2" customFormat="1" x14ac:dyDescent="0.25">
      <c r="B663" s="6"/>
      <c r="C663" s="7"/>
      <c r="D663"/>
      <c r="E663"/>
      <c r="F663"/>
      <c r="G663"/>
      <c r="H663"/>
      <c r="I663"/>
      <c r="J663"/>
      <c r="K663"/>
      <c r="L663"/>
    </row>
    <row r="664" spans="2:12" s="2" customFormat="1" x14ac:dyDescent="0.25">
      <c r="B664" s="6"/>
      <c r="C664" s="7"/>
      <c r="D664"/>
      <c r="E664"/>
      <c r="F664"/>
      <c r="G664"/>
      <c r="H664"/>
      <c r="I664"/>
      <c r="J664"/>
      <c r="K664"/>
      <c r="L664"/>
    </row>
    <row r="665" spans="2:12" s="2" customFormat="1" x14ac:dyDescent="0.25">
      <c r="B665" s="6"/>
      <c r="C665" s="7"/>
      <c r="D665"/>
      <c r="E665"/>
      <c r="F665"/>
      <c r="G665"/>
      <c r="H665"/>
      <c r="I665"/>
      <c r="J665"/>
      <c r="K665"/>
      <c r="L665"/>
    </row>
    <row r="666" spans="2:12" s="2" customFormat="1" x14ac:dyDescent="0.25">
      <c r="B666" s="6"/>
      <c r="C666" s="7"/>
      <c r="D666"/>
      <c r="E666"/>
      <c r="F666"/>
      <c r="G666"/>
      <c r="H666"/>
      <c r="I666"/>
      <c r="J666"/>
      <c r="K666"/>
      <c r="L666"/>
    </row>
    <row r="667" spans="2:12" s="2" customFormat="1" x14ac:dyDescent="0.25">
      <c r="B667" s="6"/>
      <c r="C667" s="7"/>
      <c r="D667"/>
      <c r="E667"/>
      <c r="F667"/>
      <c r="G667"/>
      <c r="H667"/>
      <c r="I667"/>
      <c r="J667"/>
      <c r="K667"/>
      <c r="L667"/>
    </row>
    <row r="668" spans="2:12" s="2" customFormat="1" x14ac:dyDescent="0.25">
      <c r="B668" s="6"/>
      <c r="C668" s="7"/>
      <c r="D668"/>
      <c r="E668"/>
      <c r="F668"/>
      <c r="G668"/>
      <c r="H668"/>
      <c r="I668"/>
      <c r="J668"/>
      <c r="K668"/>
      <c r="L668"/>
    </row>
    <row r="669" spans="2:12" s="2" customFormat="1" x14ac:dyDescent="0.25">
      <c r="B669" s="6"/>
      <c r="C669" s="7"/>
      <c r="D669"/>
      <c r="E669"/>
      <c r="F669"/>
      <c r="G669"/>
      <c r="H669"/>
      <c r="I669"/>
      <c r="J669"/>
      <c r="K669"/>
      <c r="L669"/>
    </row>
    <row r="670" spans="2:12" s="2" customFormat="1" x14ac:dyDescent="0.25">
      <c r="B670" s="6"/>
      <c r="C670" s="7"/>
      <c r="D670"/>
      <c r="E670"/>
      <c r="F670"/>
      <c r="G670"/>
      <c r="H670"/>
      <c r="I670"/>
      <c r="J670"/>
      <c r="K670"/>
      <c r="L670"/>
    </row>
    <row r="671" spans="2:12" s="2" customFormat="1" x14ac:dyDescent="0.25">
      <c r="B671" s="6"/>
      <c r="C671" s="7"/>
      <c r="D671"/>
      <c r="E671"/>
      <c r="F671"/>
      <c r="G671"/>
      <c r="H671"/>
      <c r="I671"/>
      <c r="J671"/>
      <c r="K671"/>
      <c r="L671"/>
    </row>
    <row r="672" spans="2:12" s="2" customFormat="1" x14ac:dyDescent="0.25">
      <c r="B672" s="6"/>
      <c r="C672" s="7"/>
      <c r="D672"/>
      <c r="E672"/>
      <c r="F672"/>
      <c r="G672"/>
      <c r="H672"/>
      <c r="I672"/>
      <c r="J672"/>
      <c r="K672"/>
      <c r="L672"/>
    </row>
    <row r="673" spans="2:12" s="2" customFormat="1" x14ac:dyDescent="0.25">
      <c r="B673" s="6"/>
      <c r="C673" s="7"/>
      <c r="D673"/>
      <c r="E673"/>
      <c r="F673"/>
      <c r="G673"/>
      <c r="H673"/>
      <c r="I673"/>
      <c r="J673"/>
      <c r="K673"/>
      <c r="L673"/>
    </row>
    <row r="674" spans="2:12" s="2" customFormat="1" x14ac:dyDescent="0.25">
      <c r="B674" s="6"/>
      <c r="C674" s="7"/>
      <c r="D674"/>
      <c r="E674"/>
      <c r="F674"/>
      <c r="G674"/>
      <c r="H674"/>
      <c r="I674"/>
      <c r="J674"/>
      <c r="K674"/>
      <c r="L674"/>
    </row>
    <row r="675" spans="2:12" s="2" customFormat="1" x14ac:dyDescent="0.25">
      <c r="B675" s="6"/>
      <c r="C675" s="7"/>
      <c r="D675"/>
      <c r="E675"/>
      <c r="F675"/>
      <c r="G675"/>
      <c r="H675"/>
      <c r="I675"/>
      <c r="J675"/>
      <c r="K675"/>
      <c r="L675"/>
    </row>
    <row r="676" spans="2:12" s="2" customFormat="1" x14ac:dyDescent="0.25">
      <c r="B676" s="6"/>
      <c r="C676" s="7"/>
      <c r="D676"/>
      <c r="E676"/>
      <c r="F676"/>
      <c r="G676"/>
      <c r="H676"/>
      <c r="I676"/>
      <c r="J676"/>
      <c r="K676"/>
      <c r="L676"/>
    </row>
    <row r="677" spans="2:12" s="2" customFormat="1" x14ac:dyDescent="0.25">
      <c r="B677" s="6"/>
      <c r="C677" s="7"/>
      <c r="D677"/>
      <c r="E677"/>
      <c r="F677"/>
      <c r="G677"/>
      <c r="H677"/>
      <c r="I677"/>
      <c r="J677"/>
      <c r="K677"/>
      <c r="L677"/>
    </row>
    <row r="678" spans="2:12" s="2" customFormat="1" x14ac:dyDescent="0.25">
      <c r="B678" s="6"/>
      <c r="C678" s="7"/>
      <c r="D678"/>
      <c r="E678"/>
      <c r="F678"/>
      <c r="G678"/>
      <c r="H678"/>
      <c r="I678"/>
      <c r="J678"/>
      <c r="K678"/>
      <c r="L678"/>
    </row>
    <row r="679" spans="2:12" s="2" customFormat="1" x14ac:dyDescent="0.25">
      <c r="B679" s="6"/>
      <c r="C679" s="7"/>
      <c r="D679"/>
      <c r="E679"/>
      <c r="F679"/>
      <c r="G679"/>
      <c r="H679"/>
      <c r="I679"/>
      <c r="J679"/>
      <c r="K679"/>
      <c r="L679"/>
    </row>
    <row r="680" spans="2:12" s="2" customFormat="1" x14ac:dyDescent="0.25">
      <c r="B680" s="6"/>
      <c r="C680" s="7"/>
      <c r="D680"/>
      <c r="E680"/>
      <c r="F680"/>
      <c r="G680"/>
      <c r="H680"/>
      <c r="I680"/>
      <c r="J680"/>
      <c r="K680"/>
      <c r="L680"/>
    </row>
    <row r="681" spans="2:12" s="2" customFormat="1" x14ac:dyDescent="0.25">
      <c r="B681" s="6"/>
      <c r="C681" s="7"/>
      <c r="D681"/>
      <c r="E681"/>
      <c r="F681"/>
      <c r="G681"/>
      <c r="H681"/>
      <c r="I681"/>
      <c r="J681"/>
      <c r="K681"/>
      <c r="L681"/>
    </row>
    <row r="682" spans="2:12" s="2" customFormat="1" x14ac:dyDescent="0.25">
      <c r="B682" s="6"/>
      <c r="C682" s="7"/>
      <c r="D682"/>
      <c r="E682"/>
      <c r="F682"/>
      <c r="G682"/>
      <c r="H682"/>
      <c r="I682"/>
      <c r="J682"/>
      <c r="K682"/>
      <c r="L682"/>
    </row>
    <row r="683" spans="2:12" s="2" customFormat="1" x14ac:dyDescent="0.25">
      <c r="B683" s="6"/>
      <c r="C683" s="7"/>
      <c r="D683"/>
      <c r="E683"/>
      <c r="F683"/>
      <c r="G683"/>
      <c r="H683"/>
      <c r="I683"/>
      <c r="J683"/>
      <c r="K683"/>
      <c r="L683"/>
    </row>
    <row r="684" spans="2:12" s="2" customFormat="1" x14ac:dyDescent="0.25">
      <c r="B684" s="6"/>
      <c r="C684" s="7"/>
      <c r="D684"/>
      <c r="E684"/>
      <c r="F684"/>
      <c r="G684"/>
      <c r="H684"/>
      <c r="I684"/>
      <c r="J684"/>
      <c r="K684"/>
      <c r="L684"/>
    </row>
    <row r="685" spans="2:12" s="2" customFormat="1" x14ac:dyDescent="0.25">
      <c r="B685" s="6"/>
      <c r="C685" s="7"/>
      <c r="D685"/>
      <c r="E685"/>
      <c r="F685"/>
      <c r="G685"/>
      <c r="H685"/>
      <c r="I685"/>
      <c r="J685"/>
      <c r="K685"/>
      <c r="L685"/>
    </row>
    <row r="686" spans="2:12" s="2" customFormat="1" x14ac:dyDescent="0.25">
      <c r="B686" s="6"/>
      <c r="C686" s="7"/>
      <c r="D686"/>
      <c r="E686"/>
      <c r="F686"/>
      <c r="G686"/>
      <c r="H686"/>
      <c r="I686"/>
      <c r="J686"/>
      <c r="K686"/>
      <c r="L686"/>
    </row>
    <row r="687" spans="2:12" s="2" customFormat="1" x14ac:dyDescent="0.25">
      <c r="B687" s="6"/>
      <c r="C687" s="7"/>
      <c r="D687"/>
      <c r="E687"/>
      <c r="F687"/>
      <c r="G687"/>
      <c r="H687"/>
      <c r="I687"/>
      <c r="J687"/>
      <c r="K687"/>
      <c r="L687"/>
    </row>
    <row r="688" spans="2:12" s="2" customFormat="1" x14ac:dyDescent="0.25">
      <c r="B688" s="6"/>
      <c r="C688" s="7"/>
      <c r="D688"/>
      <c r="E688"/>
      <c r="F688"/>
      <c r="G688"/>
      <c r="H688"/>
      <c r="I688"/>
      <c r="J688"/>
      <c r="K688"/>
      <c r="L688"/>
    </row>
    <row r="689" spans="2:12" s="2" customFormat="1" x14ac:dyDescent="0.25">
      <c r="B689" s="6"/>
      <c r="C689" s="7"/>
      <c r="D689"/>
      <c r="E689"/>
      <c r="F689"/>
      <c r="G689"/>
      <c r="H689"/>
      <c r="I689"/>
      <c r="J689"/>
      <c r="K689"/>
      <c r="L689"/>
    </row>
    <row r="690" spans="2:12" s="2" customFormat="1" x14ac:dyDescent="0.25">
      <c r="B690" s="6"/>
      <c r="C690" s="7"/>
      <c r="D690"/>
      <c r="E690"/>
      <c r="F690"/>
      <c r="G690"/>
      <c r="H690"/>
      <c r="I690"/>
      <c r="J690"/>
      <c r="K690"/>
      <c r="L690"/>
    </row>
    <row r="691" spans="2:12" s="2" customFormat="1" x14ac:dyDescent="0.25">
      <c r="B691" s="6"/>
      <c r="C691" s="7"/>
      <c r="D691"/>
      <c r="E691"/>
      <c r="F691"/>
      <c r="G691"/>
      <c r="H691"/>
      <c r="I691"/>
      <c r="J691"/>
      <c r="K691"/>
      <c r="L691"/>
    </row>
    <row r="692" spans="2:12" s="2" customFormat="1" x14ac:dyDescent="0.25">
      <c r="B692" s="6"/>
      <c r="C692" s="7"/>
      <c r="D692"/>
      <c r="E692"/>
      <c r="F692"/>
      <c r="G692"/>
      <c r="H692"/>
      <c r="I692"/>
      <c r="J692"/>
      <c r="K692"/>
      <c r="L692"/>
    </row>
    <row r="693" spans="2:12" s="2" customFormat="1" x14ac:dyDescent="0.25">
      <c r="B693" s="6"/>
      <c r="C693" s="7"/>
      <c r="D693"/>
      <c r="E693"/>
      <c r="F693"/>
      <c r="G693"/>
      <c r="H693"/>
      <c r="I693"/>
      <c r="J693"/>
      <c r="K693"/>
      <c r="L693"/>
    </row>
    <row r="694" spans="2:12" s="2" customFormat="1" x14ac:dyDescent="0.25">
      <c r="B694" s="6"/>
      <c r="C694" s="7"/>
      <c r="D694"/>
      <c r="E694"/>
      <c r="F694"/>
      <c r="G694"/>
      <c r="H694"/>
      <c r="I694"/>
      <c r="J694"/>
      <c r="K694"/>
      <c r="L694"/>
    </row>
    <row r="695" spans="2:12" s="2" customFormat="1" x14ac:dyDescent="0.25">
      <c r="B695" s="6"/>
      <c r="C695" s="7"/>
      <c r="D695"/>
      <c r="E695"/>
      <c r="F695"/>
      <c r="G695"/>
      <c r="H695"/>
      <c r="I695"/>
      <c r="J695"/>
      <c r="K695"/>
      <c r="L695"/>
    </row>
    <row r="696" spans="2:12" s="2" customFormat="1" x14ac:dyDescent="0.25">
      <c r="B696" s="6"/>
      <c r="C696" s="7"/>
      <c r="D696"/>
      <c r="E696"/>
      <c r="F696"/>
      <c r="G696"/>
      <c r="H696"/>
      <c r="I696"/>
      <c r="J696"/>
      <c r="K696"/>
      <c r="L696"/>
    </row>
    <row r="697" spans="2:12" s="2" customFormat="1" x14ac:dyDescent="0.25">
      <c r="B697" s="6"/>
      <c r="C697" s="7"/>
      <c r="D697"/>
      <c r="E697"/>
      <c r="F697"/>
      <c r="G697"/>
      <c r="H697"/>
      <c r="I697"/>
      <c r="J697"/>
      <c r="K697"/>
      <c r="L697"/>
    </row>
    <row r="698" spans="2:12" s="2" customFormat="1" x14ac:dyDescent="0.25">
      <c r="B698" s="6"/>
      <c r="C698" s="7"/>
      <c r="D698"/>
      <c r="E698"/>
      <c r="F698"/>
      <c r="G698"/>
      <c r="H698"/>
      <c r="I698"/>
      <c r="J698"/>
      <c r="K698"/>
      <c r="L698"/>
    </row>
    <row r="699" spans="2:12" s="2" customFormat="1" x14ac:dyDescent="0.25">
      <c r="B699" s="6"/>
      <c r="C699" s="7"/>
      <c r="D699"/>
      <c r="E699"/>
      <c r="F699"/>
      <c r="G699"/>
      <c r="H699"/>
      <c r="I699"/>
      <c r="J699"/>
      <c r="K699"/>
      <c r="L699"/>
    </row>
    <row r="700" spans="2:12" s="2" customFormat="1" x14ac:dyDescent="0.25">
      <c r="B700" s="6"/>
      <c r="C700" s="7"/>
      <c r="D700"/>
      <c r="E700"/>
      <c r="F700"/>
      <c r="G700"/>
      <c r="H700"/>
      <c r="I700"/>
      <c r="J700"/>
      <c r="K700"/>
      <c r="L700"/>
    </row>
    <row r="701" spans="2:12" s="2" customFormat="1" x14ac:dyDescent="0.25">
      <c r="B701" s="6"/>
      <c r="C701" s="7"/>
      <c r="D701"/>
      <c r="E701"/>
      <c r="F701"/>
      <c r="G701"/>
      <c r="H701"/>
      <c r="I701"/>
      <c r="J701"/>
      <c r="K701"/>
      <c r="L701"/>
    </row>
    <row r="702" spans="2:12" s="2" customFormat="1" x14ac:dyDescent="0.25">
      <c r="B702" s="6"/>
      <c r="C702" s="7"/>
      <c r="D702"/>
      <c r="E702"/>
      <c r="F702"/>
      <c r="G702"/>
      <c r="H702"/>
      <c r="I702"/>
      <c r="J702"/>
      <c r="K702"/>
      <c r="L702"/>
    </row>
    <row r="703" spans="2:12" s="2" customFormat="1" x14ac:dyDescent="0.25">
      <c r="B703" s="6"/>
      <c r="C703" s="7"/>
      <c r="D703"/>
      <c r="E703"/>
      <c r="F703"/>
      <c r="G703"/>
      <c r="H703"/>
      <c r="I703"/>
      <c r="J703"/>
      <c r="K703"/>
      <c r="L703"/>
    </row>
    <row r="704" spans="2:12" s="2" customFormat="1" x14ac:dyDescent="0.25">
      <c r="B704" s="6"/>
      <c r="C704" s="7"/>
      <c r="D704"/>
      <c r="E704"/>
      <c r="F704"/>
      <c r="G704"/>
      <c r="H704"/>
      <c r="I704"/>
      <c r="J704"/>
      <c r="K704"/>
      <c r="L704"/>
    </row>
    <row r="705" spans="2:12" s="2" customFormat="1" x14ac:dyDescent="0.25">
      <c r="B705" s="6"/>
      <c r="C705" s="7"/>
      <c r="D705"/>
      <c r="E705"/>
      <c r="F705"/>
      <c r="G705"/>
      <c r="H705"/>
      <c r="I705"/>
      <c r="J705"/>
      <c r="K705"/>
      <c r="L705"/>
    </row>
    <row r="706" spans="2:12" s="2" customFormat="1" x14ac:dyDescent="0.25">
      <c r="B706" s="6"/>
      <c r="C706" s="7"/>
      <c r="D706"/>
      <c r="E706"/>
      <c r="F706"/>
      <c r="G706"/>
      <c r="H706"/>
      <c r="I706"/>
      <c r="J706"/>
      <c r="K706"/>
      <c r="L706"/>
    </row>
    <row r="707" spans="2:12" s="2" customFormat="1" x14ac:dyDescent="0.25">
      <c r="B707" s="6"/>
      <c r="C707" s="7"/>
      <c r="D707"/>
      <c r="E707"/>
      <c r="F707"/>
      <c r="G707"/>
      <c r="H707"/>
      <c r="I707"/>
      <c r="J707"/>
      <c r="K707"/>
      <c r="L707"/>
    </row>
    <row r="708" spans="2:12" s="2" customFormat="1" x14ac:dyDescent="0.25">
      <c r="B708" s="6"/>
      <c r="C708" s="7"/>
      <c r="D708"/>
      <c r="E708"/>
      <c r="F708"/>
      <c r="G708"/>
      <c r="H708"/>
      <c r="I708"/>
      <c r="J708"/>
      <c r="K708"/>
      <c r="L708"/>
    </row>
    <row r="709" spans="2:12" s="2" customFormat="1" x14ac:dyDescent="0.25">
      <c r="B709" s="6"/>
      <c r="C709" s="7"/>
      <c r="D709"/>
      <c r="E709"/>
      <c r="F709"/>
      <c r="G709"/>
      <c r="H709"/>
      <c r="I709"/>
      <c r="J709"/>
      <c r="K709"/>
      <c r="L709"/>
    </row>
    <row r="710" spans="2:12" s="2" customFormat="1" x14ac:dyDescent="0.25">
      <c r="B710" s="6"/>
      <c r="C710" s="7"/>
      <c r="D710"/>
      <c r="E710"/>
      <c r="F710"/>
      <c r="G710"/>
      <c r="H710"/>
      <c r="I710"/>
      <c r="J710"/>
      <c r="K710"/>
      <c r="L710"/>
    </row>
    <row r="711" spans="2:12" s="2" customFormat="1" x14ac:dyDescent="0.25">
      <c r="B711" s="6"/>
      <c r="C711" s="7"/>
      <c r="D711"/>
      <c r="E711"/>
      <c r="F711"/>
      <c r="G711"/>
      <c r="H711"/>
      <c r="I711"/>
      <c r="J711"/>
      <c r="K711"/>
      <c r="L711"/>
    </row>
    <row r="712" spans="2:12" s="2" customFormat="1" x14ac:dyDescent="0.25">
      <c r="B712" s="6"/>
      <c r="C712" s="7"/>
      <c r="D712"/>
      <c r="E712"/>
      <c r="F712"/>
      <c r="G712"/>
      <c r="H712"/>
      <c r="I712"/>
      <c r="J712"/>
      <c r="K712"/>
      <c r="L712"/>
    </row>
    <row r="713" spans="2:12" s="2" customFormat="1" x14ac:dyDescent="0.25">
      <c r="B713" s="6"/>
      <c r="C713" s="7"/>
      <c r="D713"/>
      <c r="E713"/>
      <c r="F713"/>
      <c r="G713"/>
      <c r="H713"/>
      <c r="I713"/>
      <c r="J713"/>
      <c r="K713"/>
      <c r="L713"/>
    </row>
    <row r="714" spans="2:12" s="2" customFormat="1" x14ac:dyDescent="0.25">
      <c r="B714" s="6"/>
      <c r="C714" s="7"/>
      <c r="D714"/>
      <c r="E714"/>
      <c r="F714"/>
      <c r="G714"/>
      <c r="H714"/>
      <c r="I714"/>
      <c r="J714"/>
      <c r="K714"/>
      <c r="L714"/>
    </row>
    <row r="715" spans="2:12" s="2" customFormat="1" x14ac:dyDescent="0.25">
      <c r="B715" s="6"/>
      <c r="C715" s="7"/>
      <c r="D715"/>
      <c r="E715"/>
      <c r="F715"/>
      <c r="G715"/>
      <c r="H715"/>
      <c r="I715"/>
      <c r="J715"/>
      <c r="K715"/>
      <c r="L715"/>
    </row>
    <row r="716" spans="2:12" s="2" customFormat="1" x14ac:dyDescent="0.25">
      <c r="B716" s="6"/>
      <c r="C716" s="7"/>
      <c r="D716"/>
      <c r="E716"/>
      <c r="F716"/>
      <c r="G716"/>
      <c r="H716"/>
      <c r="I716"/>
      <c r="J716"/>
      <c r="K716"/>
      <c r="L716"/>
    </row>
    <row r="717" spans="2:12" s="2" customFormat="1" x14ac:dyDescent="0.25">
      <c r="B717" s="6"/>
      <c r="C717" s="7"/>
      <c r="D717"/>
      <c r="E717"/>
      <c r="F717"/>
      <c r="G717"/>
      <c r="H717"/>
      <c r="I717"/>
      <c r="J717"/>
      <c r="K717"/>
      <c r="L717"/>
    </row>
    <row r="718" spans="2:12" s="2" customFormat="1" x14ac:dyDescent="0.25">
      <c r="B718" s="6"/>
      <c r="C718" s="7"/>
      <c r="D718"/>
      <c r="E718"/>
      <c r="F718"/>
      <c r="G718"/>
      <c r="H718"/>
      <c r="I718"/>
      <c r="J718"/>
      <c r="K718"/>
      <c r="L718"/>
    </row>
    <row r="719" spans="2:12" s="2" customFormat="1" x14ac:dyDescent="0.25">
      <c r="B719" s="6"/>
      <c r="C719" s="7"/>
      <c r="D719"/>
      <c r="E719"/>
      <c r="F719"/>
      <c r="G719"/>
      <c r="H719"/>
      <c r="I719"/>
      <c r="J719"/>
      <c r="K719"/>
      <c r="L719"/>
    </row>
    <row r="720" spans="2:12" s="2" customFormat="1" x14ac:dyDescent="0.25">
      <c r="B720" s="6"/>
      <c r="C720" s="7"/>
      <c r="D720"/>
      <c r="E720"/>
      <c r="F720"/>
      <c r="G720"/>
      <c r="H720"/>
      <c r="I720"/>
      <c r="J720"/>
      <c r="K720"/>
      <c r="L720"/>
    </row>
    <row r="721" spans="2:12" s="2" customFormat="1" x14ac:dyDescent="0.25">
      <c r="B721" s="6"/>
      <c r="C721" s="7"/>
      <c r="D721"/>
      <c r="E721"/>
      <c r="F721"/>
      <c r="G721"/>
      <c r="H721"/>
      <c r="I721"/>
      <c r="J721"/>
      <c r="K721"/>
      <c r="L721"/>
    </row>
    <row r="722" spans="2:12" s="2" customFormat="1" x14ac:dyDescent="0.25">
      <c r="B722" s="6"/>
      <c r="C722" s="7"/>
      <c r="D722"/>
      <c r="E722"/>
      <c r="F722"/>
      <c r="G722"/>
      <c r="H722"/>
      <c r="I722"/>
      <c r="J722"/>
      <c r="K722"/>
      <c r="L722"/>
    </row>
    <row r="723" spans="2:12" s="2" customFormat="1" x14ac:dyDescent="0.25">
      <c r="B723" s="6"/>
      <c r="C723" s="7"/>
      <c r="D723"/>
      <c r="E723"/>
      <c r="F723"/>
      <c r="G723"/>
      <c r="H723"/>
      <c r="I723"/>
      <c r="J723"/>
      <c r="K723"/>
      <c r="L723"/>
    </row>
    <row r="724" spans="2:12" s="2" customFormat="1" x14ac:dyDescent="0.25">
      <c r="B724" s="6"/>
      <c r="C724" s="7"/>
      <c r="D724"/>
      <c r="E724"/>
      <c r="F724"/>
      <c r="G724"/>
      <c r="H724"/>
      <c r="I724"/>
      <c r="J724"/>
      <c r="K724"/>
      <c r="L724"/>
    </row>
    <row r="725" spans="2:12" s="2" customFormat="1" x14ac:dyDescent="0.25">
      <c r="B725" s="6"/>
      <c r="C725" s="7"/>
      <c r="D725"/>
      <c r="E725"/>
      <c r="F725"/>
      <c r="G725"/>
      <c r="H725"/>
      <c r="I725"/>
      <c r="J725"/>
      <c r="K725"/>
      <c r="L725"/>
    </row>
    <row r="726" spans="2:12" s="2" customFormat="1" x14ac:dyDescent="0.25">
      <c r="B726" s="6"/>
      <c r="C726" s="7"/>
      <c r="D726"/>
      <c r="E726"/>
      <c r="F726"/>
      <c r="G726"/>
      <c r="H726"/>
      <c r="I726"/>
      <c r="J726"/>
      <c r="K726"/>
      <c r="L726"/>
    </row>
    <row r="727" spans="2:12" s="2" customFormat="1" x14ac:dyDescent="0.25">
      <c r="B727" s="6"/>
      <c r="C727" s="7"/>
      <c r="D727"/>
      <c r="E727"/>
      <c r="F727"/>
      <c r="G727"/>
      <c r="H727"/>
      <c r="I727"/>
      <c r="J727"/>
      <c r="K727"/>
      <c r="L727"/>
    </row>
    <row r="728" spans="2:12" s="2" customFormat="1" x14ac:dyDescent="0.25">
      <c r="B728" s="6"/>
      <c r="C728" s="7"/>
      <c r="D728"/>
      <c r="E728"/>
      <c r="F728"/>
      <c r="G728"/>
      <c r="H728"/>
      <c r="I728"/>
      <c r="J728"/>
      <c r="K728"/>
      <c r="L728"/>
    </row>
    <row r="729" spans="2:12" s="2" customFormat="1" x14ac:dyDescent="0.25">
      <c r="B729" s="6"/>
      <c r="C729" s="7"/>
      <c r="D729"/>
      <c r="E729"/>
      <c r="F729"/>
      <c r="G729"/>
      <c r="H729"/>
      <c r="I729"/>
      <c r="J729"/>
      <c r="K729"/>
      <c r="L729"/>
    </row>
    <row r="730" spans="2:12" s="2" customFormat="1" x14ac:dyDescent="0.25">
      <c r="B730" s="6"/>
      <c r="C730" s="7"/>
      <c r="D730"/>
      <c r="E730"/>
      <c r="F730"/>
      <c r="G730"/>
      <c r="H730"/>
      <c r="I730"/>
      <c r="J730"/>
      <c r="K730"/>
      <c r="L730"/>
    </row>
    <row r="731" spans="2:12" s="2" customFormat="1" x14ac:dyDescent="0.25">
      <c r="B731" s="6"/>
      <c r="C731" s="7"/>
      <c r="D731"/>
      <c r="E731"/>
      <c r="F731"/>
      <c r="G731"/>
      <c r="H731"/>
      <c r="I731"/>
      <c r="J731"/>
      <c r="K731"/>
      <c r="L731"/>
    </row>
    <row r="732" spans="2:12" s="2" customFormat="1" x14ac:dyDescent="0.25">
      <c r="B732" s="6"/>
      <c r="C732" s="7"/>
      <c r="D732"/>
      <c r="E732"/>
      <c r="F732"/>
      <c r="G732"/>
      <c r="H732"/>
      <c r="I732"/>
      <c r="J732"/>
      <c r="K732"/>
      <c r="L732"/>
    </row>
    <row r="733" spans="2:12" s="2" customFormat="1" x14ac:dyDescent="0.25">
      <c r="B733" s="6"/>
      <c r="C733" s="7"/>
      <c r="D733"/>
      <c r="E733"/>
      <c r="F733"/>
      <c r="G733"/>
      <c r="H733"/>
      <c r="I733"/>
      <c r="J733"/>
      <c r="K733"/>
      <c r="L733"/>
    </row>
    <row r="734" spans="2:12" s="2" customFormat="1" x14ac:dyDescent="0.25">
      <c r="B734" s="6"/>
      <c r="C734" s="7"/>
      <c r="D734"/>
      <c r="E734"/>
      <c r="F734"/>
      <c r="G734"/>
      <c r="H734"/>
      <c r="I734"/>
      <c r="J734"/>
      <c r="K734"/>
      <c r="L734"/>
    </row>
    <row r="735" spans="2:12" s="2" customFormat="1" x14ac:dyDescent="0.25">
      <c r="B735" s="6"/>
      <c r="C735" s="7"/>
      <c r="D735"/>
      <c r="E735"/>
      <c r="F735"/>
      <c r="G735"/>
      <c r="H735"/>
      <c r="I735"/>
      <c r="J735"/>
      <c r="K735"/>
      <c r="L735"/>
    </row>
    <row r="736" spans="2:12" s="2" customFormat="1" x14ac:dyDescent="0.25">
      <c r="B736" s="6"/>
      <c r="C736" s="7"/>
      <c r="D736"/>
      <c r="E736"/>
      <c r="F736"/>
      <c r="G736"/>
      <c r="H736"/>
      <c r="I736"/>
      <c r="J736"/>
      <c r="K736"/>
      <c r="L736"/>
    </row>
    <row r="737" spans="2:12" s="2" customFormat="1" x14ac:dyDescent="0.25">
      <c r="B737" s="6"/>
      <c r="C737" s="7"/>
      <c r="D737"/>
      <c r="E737"/>
      <c r="F737"/>
      <c r="G737"/>
      <c r="H737"/>
      <c r="I737"/>
      <c r="J737"/>
      <c r="K737"/>
      <c r="L737"/>
    </row>
    <row r="738" spans="2:12" s="2" customFormat="1" x14ac:dyDescent="0.25">
      <c r="B738" s="6"/>
      <c r="C738" s="7"/>
      <c r="D738"/>
      <c r="E738"/>
      <c r="F738"/>
      <c r="G738"/>
      <c r="H738"/>
      <c r="I738"/>
      <c r="J738"/>
      <c r="K738"/>
      <c r="L738"/>
    </row>
    <row r="739" spans="2:12" s="2" customFormat="1" x14ac:dyDescent="0.25">
      <c r="B739" s="6"/>
      <c r="C739" s="7"/>
      <c r="D739"/>
      <c r="E739"/>
      <c r="F739"/>
      <c r="G739"/>
      <c r="H739"/>
      <c r="I739"/>
      <c r="J739"/>
      <c r="K739"/>
      <c r="L739"/>
    </row>
    <row r="740" spans="2:12" s="2" customFormat="1" x14ac:dyDescent="0.25">
      <c r="B740" s="6"/>
      <c r="C740" s="7"/>
      <c r="D740"/>
      <c r="E740"/>
      <c r="F740"/>
      <c r="G740"/>
      <c r="H740"/>
      <c r="I740"/>
      <c r="J740"/>
      <c r="K740"/>
      <c r="L740"/>
    </row>
    <row r="741" spans="2:12" s="2" customFormat="1" x14ac:dyDescent="0.25">
      <c r="B741" s="6"/>
      <c r="C741" s="7"/>
      <c r="D741"/>
      <c r="E741"/>
      <c r="F741"/>
      <c r="G741"/>
      <c r="H741"/>
      <c r="I741"/>
      <c r="J741"/>
      <c r="K741"/>
      <c r="L741"/>
    </row>
    <row r="742" spans="2:12" s="2" customFormat="1" x14ac:dyDescent="0.25">
      <c r="B742" s="6"/>
      <c r="C742" s="7"/>
      <c r="D742"/>
      <c r="E742"/>
      <c r="F742"/>
      <c r="G742"/>
      <c r="H742"/>
      <c r="I742"/>
      <c r="J742"/>
      <c r="K742"/>
      <c r="L742"/>
    </row>
    <row r="743" spans="2:12" s="2" customFormat="1" x14ac:dyDescent="0.25">
      <c r="B743" s="6"/>
      <c r="C743" s="7"/>
      <c r="D743"/>
      <c r="E743"/>
      <c r="F743"/>
      <c r="G743"/>
      <c r="H743"/>
      <c r="I743"/>
      <c r="J743"/>
      <c r="K743"/>
      <c r="L743"/>
    </row>
    <row r="744" spans="2:12" s="2" customFormat="1" x14ac:dyDescent="0.25">
      <c r="B744" s="6"/>
      <c r="C744" s="7"/>
      <c r="D744"/>
      <c r="E744"/>
      <c r="F744"/>
      <c r="G744"/>
      <c r="H744"/>
      <c r="I744"/>
      <c r="J744"/>
      <c r="K744"/>
      <c r="L744"/>
    </row>
    <row r="745" spans="2:12" s="2" customFormat="1" x14ac:dyDescent="0.25">
      <c r="B745" s="6"/>
      <c r="C745" s="7"/>
      <c r="D745"/>
      <c r="E745"/>
      <c r="F745"/>
      <c r="G745"/>
      <c r="H745"/>
      <c r="I745"/>
      <c r="J745"/>
      <c r="K745"/>
      <c r="L745"/>
    </row>
    <row r="746" spans="2:12" s="2" customFormat="1" x14ac:dyDescent="0.25">
      <c r="B746" s="6"/>
      <c r="C746" s="7"/>
      <c r="D746"/>
      <c r="E746"/>
      <c r="F746"/>
      <c r="G746"/>
      <c r="H746"/>
      <c r="I746"/>
      <c r="J746"/>
      <c r="K746"/>
      <c r="L746"/>
    </row>
    <row r="747" spans="2:12" s="2" customFormat="1" x14ac:dyDescent="0.25">
      <c r="B747" s="6"/>
      <c r="C747" s="7"/>
      <c r="D747"/>
      <c r="E747"/>
      <c r="F747"/>
      <c r="G747"/>
      <c r="H747"/>
      <c r="I747"/>
      <c r="J747"/>
      <c r="K747"/>
      <c r="L747"/>
    </row>
    <row r="748" spans="2:12" s="2" customFormat="1" x14ac:dyDescent="0.25">
      <c r="B748" s="6"/>
      <c r="C748" s="7"/>
      <c r="D748"/>
      <c r="E748"/>
      <c r="F748"/>
      <c r="G748"/>
      <c r="H748"/>
      <c r="I748"/>
      <c r="J748"/>
      <c r="K748"/>
      <c r="L748"/>
    </row>
    <row r="749" spans="2:12" s="2" customFormat="1" x14ac:dyDescent="0.25">
      <c r="B749" s="6"/>
      <c r="C749" s="7"/>
      <c r="D749"/>
      <c r="E749"/>
      <c r="F749"/>
      <c r="G749"/>
      <c r="H749"/>
      <c r="I749"/>
      <c r="J749"/>
      <c r="K749"/>
      <c r="L749"/>
    </row>
    <row r="750" spans="2:12" s="2" customFormat="1" x14ac:dyDescent="0.25">
      <c r="B750" s="6"/>
      <c r="C750" s="7"/>
      <c r="D750"/>
      <c r="E750"/>
      <c r="F750"/>
      <c r="G750"/>
      <c r="H750"/>
      <c r="I750"/>
      <c r="J750"/>
      <c r="K750"/>
      <c r="L750"/>
    </row>
    <row r="751" spans="2:12" s="2" customFormat="1" x14ac:dyDescent="0.25">
      <c r="B751" s="6"/>
      <c r="C751" s="7"/>
      <c r="D751"/>
      <c r="E751"/>
      <c r="F751"/>
      <c r="G751"/>
      <c r="H751"/>
      <c r="I751"/>
      <c r="J751"/>
      <c r="K751"/>
      <c r="L751"/>
    </row>
    <row r="752" spans="2:12" s="2" customFormat="1" x14ac:dyDescent="0.25">
      <c r="B752" s="6"/>
      <c r="C752" s="7"/>
      <c r="D752"/>
      <c r="E752"/>
      <c r="F752"/>
      <c r="G752"/>
      <c r="H752"/>
      <c r="I752"/>
      <c r="J752"/>
      <c r="K752"/>
      <c r="L752"/>
    </row>
    <row r="753" spans="2:12" s="2" customFormat="1" x14ac:dyDescent="0.25">
      <c r="B753" s="6"/>
      <c r="C753" s="7"/>
      <c r="D753"/>
      <c r="E753"/>
      <c r="F753"/>
      <c r="G753"/>
      <c r="H753"/>
      <c r="I753"/>
      <c r="J753"/>
      <c r="K753"/>
      <c r="L753"/>
    </row>
    <row r="754" spans="2:12" s="2" customFormat="1" x14ac:dyDescent="0.25">
      <c r="B754" s="6"/>
      <c r="C754" s="7"/>
      <c r="D754"/>
      <c r="E754"/>
      <c r="F754"/>
      <c r="G754"/>
      <c r="H754"/>
      <c r="I754"/>
      <c r="J754"/>
      <c r="K754"/>
      <c r="L754"/>
    </row>
    <row r="755" spans="2:12" s="2" customFormat="1" x14ac:dyDescent="0.25">
      <c r="B755" s="6"/>
      <c r="C755" s="7"/>
      <c r="D755"/>
      <c r="E755"/>
      <c r="F755"/>
      <c r="G755"/>
      <c r="H755"/>
      <c r="I755"/>
      <c r="J755"/>
      <c r="K755"/>
      <c r="L755"/>
    </row>
    <row r="756" spans="2:12" s="2" customFormat="1" x14ac:dyDescent="0.25">
      <c r="B756" s="6"/>
      <c r="C756" s="7"/>
      <c r="D756"/>
      <c r="E756"/>
      <c r="F756"/>
      <c r="G756"/>
      <c r="H756"/>
      <c r="I756"/>
      <c r="J756"/>
      <c r="K756"/>
      <c r="L756"/>
    </row>
    <row r="757" spans="2:12" s="2" customFormat="1" x14ac:dyDescent="0.25">
      <c r="B757" s="6"/>
      <c r="C757" s="7"/>
      <c r="D757"/>
      <c r="E757"/>
      <c r="F757"/>
      <c r="G757"/>
      <c r="H757"/>
      <c r="I757"/>
      <c r="J757"/>
      <c r="K757"/>
      <c r="L757"/>
    </row>
    <row r="758" spans="2:12" s="2" customFormat="1" x14ac:dyDescent="0.25">
      <c r="B758" s="6"/>
      <c r="C758" s="7"/>
      <c r="D758"/>
      <c r="E758"/>
      <c r="F758"/>
      <c r="G758"/>
      <c r="H758"/>
      <c r="I758"/>
      <c r="J758"/>
      <c r="K758"/>
      <c r="L758"/>
    </row>
    <row r="759" spans="2:12" s="2" customFormat="1" x14ac:dyDescent="0.25">
      <c r="B759" s="6"/>
      <c r="C759" s="7"/>
      <c r="D759"/>
      <c r="E759"/>
      <c r="F759"/>
      <c r="G759"/>
      <c r="H759"/>
      <c r="I759"/>
      <c r="J759"/>
      <c r="K759"/>
      <c r="L759"/>
    </row>
    <row r="760" spans="2:12" s="2" customFormat="1" x14ac:dyDescent="0.25">
      <c r="B760" s="6"/>
      <c r="C760" s="7"/>
      <c r="D760"/>
      <c r="E760"/>
      <c r="F760"/>
      <c r="G760"/>
      <c r="H760"/>
      <c r="I760"/>
      <c r="J760"/>
      <c r="K760"/>
      <c r="L760"/>
    </row>
    <row r="761" spans="2:12" s="2" customFormat="1" x14ac:dyDescent="0.25">
      <c r="B761" s="6"/>
      <c r="C761" s="7"/>
      <c r="D761"/>
      <c r="E761"/>
      <c r="F761"/>
      <c r="G761"/>
      <c r="H761"/>
      <c r="I761"/>
      <c r="J761"/>
      <c r="K761"/>
      <c r="L761"/>
    </row>
    <row r="762" spans="2:12" s="2" customFormat="1" x14ac:dyDescent="0.25">
      <c r="B762" s="6"/>
      <c r="C762" s="7"/>
      <c r="D762"/>
      <c r="E762"/>
      <c r="F762"/>
      <c r="G762"/>
      <c r="H762"/>
      <c r="I762"/>
      <c r="J762"/>
      <c r="K762"/>
      <c r="L762"/>
    </row>
    <row r="763" spans="2:12" s="2" customFormat="1" x14ac:dyDescent="0.25">
      <c r="B763" s="6"/>
      <c r="C763" s="7"/>
      <c r="D763"/>
      <c r="E763"/>
      <c r="F763"/>
      <c r="G763"/>
      <c r="H763"/>
      <c r="I763"/>
      <c r="J763"/>
      <c r="K763"/>
      <c r="L763"/>
    </row>
    <row r="764" spans="2:12" s="2" customFormat="1" x14ac:dyDescent="0.25">
      <c r="B764" s="6"/>
      <c r="C764" s="7"/>
      <c r="D764"/>
      <c r="E764"/>
      <c r="F764"/>
      <c r="G764"/>
      <c r="H764"/>
      <c r="I764"/>
      <c r="J764"/>
      <c r="K764"/>
      <c r="L764"/>
    </row>
    <row r="765" spans="2:12" s="2" customFormat="1" x14ac:dyDescent="0.25">
      <c r="B765" s="6"/>
      <c r="C765" s="7"/>
      <c r="D765"/>
      <c r="E765"/>
      <c r="F765"/>
      <c r="G765"/>
      <c r="H765"/>
      <c r="I765"/>
      <c r="J765"/>
      <c r="K765"/>
      <c r="L765"/>
    </row>
    <row r="766" spans="2:12" s="2" customFormat="1" x14ac:dyDescent="0.25">
      <c r="B766" s="6"/>
      <c r="C766" s="7"/>
      <c r="D766"/>
      <c r="E766"/>
      <c r="F766"/>
      <c r="G766"/>
      <c r="H766"/>
      <c r="I766"/>
      <c r="J766"/>
      <c r="K766"/>
      <c r="L766"/>
    </row>
    <row r="767" spans="2:12" s="2" customFormat="1" x14ac:dyDescent="0.25">
      <c r="B767" s="6"/>
      <c r="C767" s="7"/>
      <c r="D767"/>
      <c r="E767"/>
      <c r="F767"/>
      <c r="G767"/>
      <c r="H767"/>
      <c r="I767"/>
      <c r="J767"/>
      <c r="K767"/>
      <c r="L767"/>
    </row>
    <row r="768" spans="2:12" s="2" customFormat="1" x14ac:dyDescent="0.25">
      <c r="B768" s="6"/>
      <c r="C768" s="7"/>
      <c r="D768"/>
      <c r="E768"/>
      <c r="F768"/>
      <c r="G768"/>
      <c r="H768"/>
      <c r="I768"/>
      <c r="J768"/>
      <c r="K768"/>
      <c r="L768"/>
    </row>
    <row r="769" spans="2:12" s="2" customFormat="1" x14ac:dyDescent="0.25">
      <c r="B769" s="6"/>
      <c r="C769" s="7"/>
      <c r="D769"/>
      <c r="E769"/>
      <c r="F769"/>
      <c r="G769"/>
      <c r="H769"/>
      <c r="I769"/>
      <c r="J769"/>
      <c r="K769"/>
      <c r="L769"/>
    </row>
    <row r="770" spans="2:12" s="2" customFormat="1" x14ac:dyDescent="0.25">
      <c r="B770" s="6"/>
      <c r="C770" s="7"/>
      <c r="D770"/>
      <c r="E770"/>
      <c r="F770"/>
      <c r="G770"/>
      <c r="H770"/>
      <c r="I770"/>
      <c r="J770"/>
      <c r="K770"/>
      <c r="L770"/>
    </row>
    <row r="771" spans="2:12" s="2" customFormat="1" x14ac:dyDescent="0.25">
      <c r="B771" s="6"/>
      <c r="C771" s="7"/>
      <c r="D771"/>
      <c r="E771"/>
      <c r="F771"/>
      <c r="G771"/>
      <c r="H771"/>
      <c r="I771"/>
      <c r="J771"/>
      <c r="K771"/>
      <c r="L771"/>
    </row>
    <row r="772" spans="2:12" s="2" customFormat="1" x14ac:dyDescent="0.25">
      <c r="B772" s="6"/>
      <c r="C772" s="7"/>
      <c r="D772"/>
      <c r="E772"/>
      <c r="F772"/>
      <c r="G772"/>
      <c r="H772"/>
      <c r="I772"/>
      <c r="J772"/>
      <c r="K772"/>
      <c r="L772"/>
    </row>
    <row r="773" spans="2:12" s="2" customFormat="1" x14ac:dyDescent="0.25">
      <c r="B773" s="6"/>
      <c r="C773" s="7"/>
      <c r="D773"/>
      <c r="E773"/>
      <c r="F773"/>
      <c r="G773"/>
      <c r="H773"/>
      <c r="I773"/>
      <c r="J773"/>
      <c r="K773"/>
      <c r="L773"/>
    </row>
    <row r="774" spans="2:12" s="2" customFormat="1" x14ac:dyDescent="0.25">
      <c r="B774" s="6"/>
      <c r="C774" s="7"/>
      <c r="D774"/>
      <c r="E774"/>
      <c r="F774"/>
      <c r="G774"/>
      <c r="H774"/>
      <c r="I774"/>
      <c r="J774"/>
      <c r="K774"/>
      <c r="L774"/>
    </row>
    <row r="775" spans="2:12" s="2" customFormat="1" x14ac:dyDescent="0.25">
      <c r="B775" s="6"/>
      <c r="C775" s="7"/>
      <c r="D775"/>
      <c r="E775"/>
      <c r="F775"/>
      <c r="G775"/>
      <c r="H775"/>
      <c r="I775"/>
      <c r="J775"/>
      <c r="K775"/>
      <c r="L775"/>
    </row>
    <row r="776" spans="2:12" s="2" customFormat="1" x14ac:dyDescent="0.25">
      <c r="B776" s="6"/>
      <c r="C776" s="7"/>
      <c r="D776"/>
      <c r="E776"/>
      <c r="F776"/>
      <c r="G776"/>
      <c r="H776"/>
      <c r="I776"/>
      <c r="J776"/>
      <c r="K776"/>
      <c r="L776"/>
    </row>
    <row r="777" spans="2:12" s="2" customFormat="1" x14ac:dyDescent="0.25">
      <c r="B777" s="6"/>
      <c r="C777" s="7"/>
      <c r="D777"/>
      <c r="E777"/>
      <c r="F777"/>
      <c r="G777"/>
      <c r="H777"/>
      <c r="I777"/>
      <c r="J777"/>
      <c r="K777"/>
      <c r="L777"/>
    </row>
    <row r="778" spans="2:12" s="2" customFormat="1" x14ac:dyDescent="0.25">
      <c r="B778" s="6"/>
      <c r="C778" s="7"/>
      <c r="D778"/>
      <c r="E778"/>
      <c r="F778"/>
      <c r="G778"/>
      <c r="H778"/>
      <c r="I778"/>
      <c r="J778"/>
      <c r="K778"/>
      <c r="L778"/>
    </row>
    <row r="779" spans="2:12" s="2" customFormat="1" x14ac:dyDescent="0.25">
      <c r="B779" s="6"/>
      <c r="C779" s="7"/>
      <c r="D779"/>
      <c r="E779"/>
      <c r="F779"/>
      <c r="G779"/>
      <c r="H779"/>
      <c r="I779"/>
      <c r="J779"/>
      <c r="K779"/>
      <c r="L779"/>
    </row>
    <row r="780" spans="2:12" s="2" customFormat="1" x14ac:dyDescent="0.25">
      <c r="B780" s="6"/>
      <c r="C780" s="7"/>
      <c r="D780"/>
      <c r="E780"/>
      <c r="F780"/>
      <c r="G780"/>
      <c r="H780"/>
      <c r="I780"/>
      <c r="J780"/>
      <c r="K780"/>
      <c r="L780"/>
    </row>
    <row r="781" spans="2:12" s="2" customFormat="1" x14ac:dyDescent="0.25">
      <c r="B781" s="6"/>
      <c r="C781" s="7"/>
      <c r="D781"/>
      <c r="E781"/>
      <c r="F781"/>
      <c r="G781"/>
      <c r="H781"/>
      <c r="I781"/>
      <c r="J781"/>
      <c r="K781"/>
      <c r="L781"/>
    </row>
    <row r="782" spans="2:12" s="2" customFormat="1" x14ac:dyDescent="0.25">
      <c r="B782" s="6"/>
      <c r="C782" s="7"/>
      <c r="D782"/>
      <c r="E782"/>
      <c r="F782"/>
      <c r="G782"/>
      <c r="H782"/>
      <c r="I782"/>
      <c r="J782"/>
      <c r="K782"/>
      <c r="L782"/>
    </row>
    <row r="783" spans="2:12" s="2" customFormat="1" x14ac:dyDescent="0.25">
      <c r="B783" s="6"/>
      <c r="C783" s="7"/>
      <c r="D783"/>
      <c r="E783"/>
      <c r="F783"/>
      <c r="G783"/>
      <c r="H783"/>
      <c r="I783"/>
      <c r="J783"/>
      <c r="K783"/>
      <c r="L783"/>
    </row>
    <row r="784" spans="2:12" s="2" customFormat="1" x14ac:dyDescent="0.25">
      <c r="B784" s="6"/>
      <c r="C784" s="7"/>
      <c r="D784"/>
      <c r="E784"/>
      <c r="F784"/>
      <c r="G784"/>
      <c r="H784"/>
      <c r="I784"/>
      <c r="J784"/>
      <c r="K784"/>
      <c r="L784"/>
    </row>
    <row r="785" spans="2:12" s="2" customFormat="1" x14ac:dyDescent="0.25">
      <c r="B785" s="6"/>
      <c r="C785" s="7"/>
      <c r="D785"/>
      <c r="E785"/>
      <c r="F785"/>
      <c r="G785"/>
      <c r="H785"/>
      <c r="I785"/>
      <c r="J785"/>
      <c r="K785"/>
      <c r="L785"/>
    </row>
    <row r="786" spans="2:12" s="2" customFormat="1" x14ac:dyDescent="0.25">
      <c r="B786" s="6"/>
      <c r="C786" s="7"/>
      <c r="D786"/>
      <c r="E786"/>
      <c r="F786"/>
      <c r="G786"/>
      <c r="H786"/>
      <c r="I786"/>
      <c r="J786"/>
      <c r="K786"/>
      <c r="L786"/>
    </row>
    <row r="787" spans="2:12" s="2" customFormat="1" x14ac:dyDescent="0.25">
      <c r="B787" s="6"/>
      <c r="C787" s="7"/>
      <c r="D787"/>
      <c r="E787"/>
      <c r="F787"/>
      <c r="G787"/>
      <c r="H787"/>
      <c r="I787"/>
      <c r="J787"/>
      <c r="K787"/>
      <c r="L787"/>
    </row>
    <row r="788" spans="2:12" s="2" customFormat="1" x14ac:dyDescent="0.25">
      <c r="B788" s="6"/>
      <c r="C788" s="7"/>
      <c r="D788"/>
      <c r="E788"/>
      <c r="F788"/>
      <c r="G788"/>
      <c r="H788"/>
      <c r="I788"/>
      <c r="J788"/>
      <c r="K788"/>
      <c r="L788"/>
    </row>
    <row r="789" spans="2:12" s="2" customFormat="1" x14ac:dyDescent="0.25">
      <c r="B789" s="6"/>
      <c r="C789" s="7"/>
      <c r="D789"/>
      <c r="E789"/>
      <c r="F789"/>
      <c r="G789"/>
      <c r="H789"/>
      <c r="I789"/>
      <c r="J789"/>
      <c r="K789"/>
      <c r="L789"/>
    </row>
    <row r="790" spans="2:12" s="2" customFormat="1" x14ac:dyDescent="0.25">
      <c r="B790" s="6"/>
      <c r="C790" s="7"/>
      <c r="D790"/>
      <c r="E790"/>
      <c r="F790"/>
      <c r="G790"/>
      <c r="H790"/>
      <c r="I790"/>
      <c r="J790"/>
      <c r="K790"/>
      <c r="L790"/>
    </row>
    <row r="791" spans="2:12" s="2" customFormat="1" x14ac:dyDescent="0.25">
      <c r="B791" s="6"/>
      <c r="C791" s="7"/>
      <c r="D791"/>
      <c r="E791"/>
      <c r="F791"/>
      <c r="G791"/>
      <c r="H791"/>
      <c r="I791"/>
      <c r="J791"/>
      <c r="K791"/>
      <c r="L791"/>
    </row>
    <row r="792" spans="2:12" s="2" customFormat="1" x14ac:dyDescent="0.25">
      <c r="B792" s="6"/>
      <c r="C792" s="7"/>
      <c r="D792"/>
      <c r="E792"/>
      <c r="F792"/>
      <c r="G792"/>
      <c r="H792"/>
      <c r="I792"/>
      <c r="J792"/>
      <c r="K792"/>
      <c r="L792"/>
    </row>
    <row r="793" spans="2:12" s="2" customFormat="1" x14ac:dyDescent="0.25">
      <c r="B793" s="6"/>
      <c r="C793" s="7"/>
      <c r="D793"/>
      <c r="E793"/>
      <c r="F793"/>
      <c r="G793"/>
      <c r="H793"/>
      <c r="I793"/>
      <c r="J793"/>
      <c r="K793"/>
      <c r="L793"/>
    </row>
    <row r="794" spans="2:12" s="2" customFormat="1" x14ac:dyDescent="0.25">
      <c r="B794" s="6"/>
      <c r="C794" s="7"/>
      <c r="D794"/>
      <c r="E794"/>
      <c r="F794"/>
      <c r="G794"/>
      <c r="H794"/>
      <c r="I794"/>
      <c r="J794"/>
      <c r="K794"/>
      <c r="L794"/>
    </row>
    <row r="795" spans="2:12" s="2" customFormat="1" x14ac:dyDescent="0.25">
      <c r="B795" s="6"/>
      <c r="C795" s="7"/>
      <c r="D795"/>
      <c r="E795"/>
      <c r="F795"/>
      <c r="G795"/>
      <c r="H795"/>
      <c r="I795"/>
      <c r="J795"/>
      <c r="K795"/>
      <c r="L795"/>
    </row>
    <row r="796" spans="2:12" s="2" customFormat="1" x14ac:dyDescent="0.25">
      <c r="B796" s="6"/>
      <c r="C796" s="7"/>
      <c r="D796"/>
      <c r="E796"/>
      <c r="F796"/>
      <c r="G796"/>
      <c r="H796"/>
      <c r="I796"/>
      <c r="J796"/>
      <c r="K796"/>
      <c r="L796"/>
    </row>
    <row r="797" spans="2:12" s="2" customFormat="1" x14ac:dyDescent="0.25">
      <c r="B797" s="6"/>
      <c r="C797" s="7"/>
      <c r="D797"/>
      <c r="E797"/>
      <c r="F797"/>
      <c r="G797"/>
      <c r="H797"/>
      <c r="I797"/>
      <c r="J797"/>
      <c r="K797"/>
      <c r="L797"/>
    </row>
    <row r="798" spans="2:12" s="2" customFormat="1" x14ac:dyDescent="0.25">
      <c r="B798" s="6"/>
      <c r="C798" s="7"/>
      <c r="D798"/>
      <c r="E798"/>
      <c r="F798"/>
      <c r="G798"/>
      <c r="H798"/>
      <c r="I798"/>
      <c r="J798"/>
      <c r="K798"/>
      <c r="L798"/>
    </row>
    <row r="799" spans="2:12" s="2" customFormat="1" x14ac:dyDescent="0.25">
      <c r="B799" s="6"/>
      <c r="C799" s="7"/>
      <c r="D799"/>
      <c r="E799"/>
      <c r="F799"/>
      <c r="G799"/>
      <c r="H799"/>
      <c r="I799"/>
      <c r="J799"/>
      <c r="K799"/>
      <c r="L799"/>
    </row>
    <row r="800" spans="2:12" s="2" customFormat="1" x14ac:dyDescent="0.25">
      <c r="B800" s="6"/>
      <c r="C800" s="7"/>
      <c r="D800"/>
      <c r="E800"/>
      <c r="F800"/>
      <c r="G800"/>
      <c r="H800"/>
      <c r="I800"/>
      <c r="J800"/>
      <c r="K800"/>
      <c r="L800"/>
    </row>
    <row r="801" spans="2:12" s="2" customFormat="1" x14ac:dyDescent="0.25">
      <c r="B801" s="6"/>
      <c r="C801" s="7"/>
      <c r="D801"/>
      <c r="E801"/>
      <c r="F801"/>
      <c r="G801"/>
      <c r="H801"/>
      <c r="I801"/>
      <c r="J801"/>
      <c r="K801"/>
      <c r="L801"/>
    </row>
    <row r="802" spans="2:12" s="2" customFormat="1" x14ac:dyDescent="0.25">
      <c r="B802" s="6"/>
      <c r="C802" s="7"/>
      <c r="D802"/>
      <c r="E802"/>
      <c r="F802"/>
      <c r="G802"/>
      <c r="H802"/>
      <c r="I802"/>
      <c r="J802"/>
      <c r="K802"/>
      <c r="L802"/>
    </row>
    <row r="803" spans="2:12" s="2" customFormat="1" x14ac:dyDescent="0.25">
      <c r="B803" s="6"/>
      <c r="C803" s="7"/>
      <c r="D803"/>
      <c r="E803"/>
      <c r="F803"/>
      <c r="G803"/>
      <c r="H803"/>
      <c r="I803"/>
      <c r="J803"/>
      <c r="K803"/>
      <c r="L803"/>
    </row>
    <row r="804" spans="2:12" s="2" customFormat="1" x14ac:dyDescent="0.25">
      <c r="B804" s="6"/>
      <c r="C804" s="7"/>
      <c r="D804"/>
      <c r="E804"/>
      <c r="F804"/>
      <c r="G804"/>
      <c r="H804"/>
      <c r="I804"/>
      <c r="J804"/>
      <c r="K804"/>
      <c r="L804"/>
    </row>
    <row r="805" spans="2:12" s="2" customFormat="1" x14ac:dyDescent="0.25">
      <c r="B805" s="6"/>
      <c r="C805" s="7"/>
      <c r="D805"/>
      <c r="E805"/>
      <c r="F805"/>
      <c r="G805"/>
      <c r="H805"/>
      <c r="I805"/>
      <c r="J805"/>
      <c r="K805"/>
      <c r="L805"/>
    </row>
    <row r="806" spans="2:12" s="2" customFormat="1" x14ac:dyDescent="0.25">
      <c r="B806" s="6"/>
      <c r="C806" s="7"/>
      <c r="D806"/>
      <c r="E806"/>
      <c r="F806"/>
      <c r="G806"/>
      <c r="H806"/>
      <c r="I806"/>
      <c r="J806"/>
      <c r="K806"/>
      <c r="L806"/>
    </row>
    <row r="807" spans="2:12" s="2" customFormat="1" x14ac:dyDescent="0.25">
      <c r="B807" s="6"/>
      <c r="C807" s="7"/>
      <c r="D807"/>
      <c r="E807"/>
      <c r="F807"/>
      <c r="G807"/>
      <c r="H807"/>
      <c r="I807"/>
      <c r="J807"/>
      <c r="K807"/>
      <c r="L807"/>
    </row>
    <row r="808" spans="2:12" s="2" customFormat="1" x14ac:dyDescent="0.25">
      <c r="B808" s="6"/>
      <c r="C808" s="7"/>
      <c r="D808"/>
      <c r="E808"/>
      <c r="F808"/>
      <c r="G808"/>
      <c r="H808"/>
      <c r="I808"/>
      <c r="J808"/>
      <c r="K808"/>
      <c r="L808"/>
    </row>
    <row r="809" spans="2:12" s="2" customFormat="1" x14ac:dyDescent="0.25">
      <c r="B809" s="6"/>
      <c r="C809" s="7"/>
      <c r="D809"/>
      <c r="E809"/>
      <c r="F809"/>
      <c r="G809"/>
      <c r="H809"/>
      <c r="I809"/>
      <c r="J809"/>
      <c r="K809"/>
      <c r="L809"/>
    </row>
    <row r="810" spans="2:12" s="2" customFormat="1" x14ac:dyDescent="0.25">
      <c r="B810" s="6"/>
      <c r="C810" s="7"/>
      <c r="D810"/>
      <c r="E810"/>
      <c r="F810"/>
      <c r="G810"/>
      <c r="H810"/>
      <c r="I810"/>
      <c r="J810"/>
      <c r="K810"/>
      <c r="L810"/>
    </row>
    <row r="811" spans="2:12" s="2" customFormat="1" x14ac:dyDescent="0.25">
      <c r="B811" s="6"/>
      <c r="C811" s="7"/>
      <c r="D811"/>
      <c r="E811"/>
      <c r="F811"/>
      <c r="G811"/>
      <c r="H811"/>
      <c r="I811"/>
      <c r="J811"/>
      <c r="K811"/>
      <c r="L811"/>
    </row>
    <row r="812" spans="2:12" s="2" customFormat="1" x14ac:dyDescent="0.25">
      <c r="B812" s="6"/>
      <c r="C812" s="7"/>
      <c r="D812"/>
      <c r="E812"/>
      <c r="F812"/>
      <c r="G812"/>
      <c r="H812"/>
      <c r="I812"/>
      <c r="J812"/>
      <c r="K812"/>
      <c r="L812"/>
    </row>
    <row r="813" spans="2:12" s="2" customFormat="1" x14ac:dyDescent="0.25">
      <c r="B813" s="6"/>
      <c r="C813" s="7"/>
      <c r="D813"/>
      <c r="E813"/>
      <c r="F813"/>
      <c r="G813"/>
      <c r="H813"/>
      <c r="I813"/>
      <c r="J813"/>
      <c r="K813"/>
      <c r="L813"/>
    </row>
    <row r="814" spans="2:12" s="2" customFormat="1" x14ac:dyDescent="0.25">
      <c r="B814" s="6"/>
      <c r="C814" s="7"/>
      <c r="D814"/>
      <c r="E814"/>
      <c r="F814"/>
      <c r="G814"/>
      <c r="H814"/>
      <c r="I814"/>
      <c r="J814"/>
      <c r="K814"/>
      <c r="L814"/>
    </row>
    <row r="815" spans="2:12" s="2" customFormat="1" x14ac:dyDescent="0.25">
      <c r="B815" s="6"/>
      <c r="C815" s="7"/>
      <c r="D815"/>
      <c r="E815"/>
      <c r="F815"/>
      <c r="G815"/>
      <c r="H815"/>
      <c r="I815"/>
      <c r="J815"/>
      <c r="K815"/>
      <c r="L815"/>
    </row>
    <row r="816" spans="2:12" s="2" customFormat="1" x14ac:dyDescent="0.25">
      <c r="B816" s="6"/>
      <c r="C816" s="7"/>
      <c r="D816"/>
      <c r="E816"/>
      <c r="F816"/>
      <c r="G816"/>
      <c r="H816"/>
      <c r="I816"/>
      <c r="J816"/>
      <c r="K816"/>
      <c r="L816"/>
    </row>
    <row r="817" spans="2:12" s="2" customFormat="1" x14ac:dyDescent="0.25">
      <c r="B817" s="6"/>
      <c r="C817" s="7"/>
      <c r="D817"/>
      <c r="E817"/>
      <c r="F817"/>
      <c r="G817"/>
      <c r="H817"/>
      <c r="I817"/>
      <c r="J817"/>
      <c r="K817"/>
      <c r="L817"/>
    </row>
    <row r="818" spans="2:12" s="2" customFormat="1" x14ac:dyDescent="0.25">
      <c r="B818" s="6"/>
      <c r="C818" s="7"/>
      <c r="D818"/>
      <c r="E818"/>
      <c r="F818"/>
      <c r="G818"/>
      <c r="H818"/>
      <c r="I818"/>
      <c r="J818"/>
      <c r="K818"/>
      <c r="L818"/>
    </row>
    <row r="819" spans="2:12" s="2" customFormat="1" x14ac:dyDescent="0.25">
      <c r="B819" s="6"/>
      <c r="C819" s="7"/>
      <c r="D819"/>
      <c r="E819"/>
      <c r="F819"/>
      <c r="G819"/>
      <c r="H819"/>
      <c r="I819"/>
      <c r="J819"/>
      <c r="K819"/>
      <c r="L819"/>
    </row>
    <row r="820" spans="2:12" s="2" customFormat="1" x14ac:dyDescent="0.25">
      <c r="B820" s="6"/>
      <c r="C820" s="7"/>
      <c r="D820"/>
      <c r="E820"/>
      <c r="F820"/>
      <c r="G820"/>
      <c r="H820"/>
      <c r="I820"/>
      <c r="J820"/>
      <c r="K820"/>
      <c r="L820"/>
    </row>
    <row r="821" spans="2:12" s="2" customFormat="1" x14ac:dyDescent="0.25">
      <c r="B821" s="6"/>
      <c r="C821" s="7"/>
      <c r="D821"/>
      <c r="E821"/>
      <c r="F821"/>
      <c r="G821"/>
      <c r="H821"/>
      <c r="I821"/>
      <c r="J821"/>
      <c r="K821"/>
      <c r="L821"/>
    </row>
    <row r="822" spans="2:12" s="2" customFormat="1" x14ac:dyDescent="0.25">
      <c r="B822" s="6"/>
      <c r="C822" s="7"/>
      <c r="D822"/>
      <c r="E822"/>
      <c r="F822"/>
      <c r="G822"/>
      <c r="H822"/>
      <c r="I822"/>
      <c r="J822"/>
      <c r="K822"/>
      <c r="L822"/>
    </row>
    <row r="823" spans="2:12" s="2" customFormat="1" x14ac:dyDescent="0.25">
      <c r="B823" s="6"/>
      <c r="C823" s="7"/>
      <c r="D823"/>
      <c r="E823"/>
      <c r="F823"/>
      <c r="G823"/>
      <c r="H823"/>
      <c r="I823"/>
      <c r="J823"/>
      <c r="K823"/>
      <c r="L823"/>
    </row>
    <row r="824" spans="2:12" s="2" customFormat="1" x14ac:dyDescent="0.25">
      <c r="B824" s="6"/>
      <c r="C824" s="7"/>
      <c r="D824"/>
      <c r="E824"/>
      <c r="F824"/>
      <c r="G824"/>
      <c r="H824"/>
      <c r="I824"/>
      <c r="J824"/>
      <c r="K824"/>
      <c r="L824"/>
    </row>
    <row r="825" spans="2:12" s="2" customFormat="1" x14ac:dyDescent="0.25">
      <c r="B825" s="6"/>
      <c r="C825" s="7"/>
      <c r="D825"/>
      <c r="E825"/>
      <c r="F825"/>
      <c r="G825"/>
      <c r="H825"/>
      <c r="I825"/>
      <c r="J825"/>
      <c r="K825"/>
      <c r="L825"/>
    </row>
    <row r="826" spans="2:12" s="2" customFormat="1" x14ac:dyDescent="0.25">
      <c r="B826" s="6"/>
      <c r="C826" s="7"/>
      <c r="D826"/>
      <c r="E826"/>
      <c r="F826"/>
      <c r="G826"/>
      <c r="H826"/>
      <c r="I826"/>
      <c r="J826"/>
      <c r="K826"/>
      <c r="L826"/>
    </row>
    <row r="827" spans="2:12" s="2" customFormat="1" x14ac:dyDescent="0.25">
      <c r="B827" s="6"/>
      <c r="C827" s="7"/>
      <c r="D827"/>
      <c r="E827"/>
      <c r="F827"/>
      <c r="G827"/>
      <c r="H827"/>
      <c r="I827"/>
      <c r="J827"/>
      <c r="K827"/>
      <c r="L827"/>
    </row>
    <row r="828" spans="2:12" s="2" customFormat="1" x14ac:dyDescent="0.25">
      <c r="B828" s="6"/>
      <c r="C828" s="7"/>
      <c r="D828"/>
      <c r="E828"/>
      <c r="F828"/>
      <c r="G828"/>
      <c r="H828"/>
      <c r="I828"/>
      <c r="J828"/>
      <c r="K828"/>
      <c r="L828"/>
    </row>
    <row r="829" spans="2:12" s="2" customFormat="1" x14ac:dyDescent="0.25">
      <c r="B829" s="6"/>
      <c r="C829" s="7"/>
      <c r="D829"/>
      <c r="E829"/>
      <c r="F829"/>
      <c r="G829"/>
      <c r="H829"/>
      <c r="I829"/>
      <c r="J829"/>
      <c r="K829"/>
      <c r="L829"/>
    </row>
    <row r="830" spans="2:12" s="2" customFormat="1" x14ac:dyDescent="0.25">
      <c r="B830" s="6"/>
      <c r="C830" s="7"/>
      <c r="D830"/>
      <c r="E830"/>
      <c r="F830"/>
      <c r="G830"/>
      <c r="H830"/>
      <c r="I830"/>
      <c r="J830"/>
      <c r="K830"/>
      <c r="L830"/>
    </row>
    <row r="831" spans="2:12" s="2" customFormat="1" x14ac:dyDescent="0.25">
      <c r="B831" s="6"/>
      <c r="C831" s="7"/>
      <c r="D831"/>
      <c r="E831"/>
      <c r="F831"/>
      <c r="G831"/>
      <c r="H831"/>
      <c r="I831"/>
      <c r="J831"/>
      <c r="K831"/>
      <c r="L831"/>
    </row>
    <row r="832" spans="2:12" s="2" customFormat="1" x14ac:dyDescent="0.25">
      <c r="B832" s="6"/>
      <c r="C832" s="7"/>
      <c r="D832"/>
      <c r="E832"/>
      <c r="F832"/>
      <c r="G832"/>
      <c r="H832"/>
      <c r="I832"/>
      <c r="J832"/>
      <c r="K832"/>
      <c r="L832"/>
    </row>
    <row r="833" spans="2:12" s="2" customFormat="1" x14ac:dyDescent="0.25">
      <c r="B833" s="6"/>
      <c r="C833" s="7"/>
      <c r="D833"/>
      <c r="E833"/>
      <c r="F833"/>
      <c r="G833"/>
      <c r="H833"/>
      <c r="I833"/>
      <c r="J833"/>
      <c r="K833"/>
      <c r="L833"/>
    </row>
    <row r="834" spans="2:12" s="2" customFormat="1" x14ac:dyDescent="0.25">
      <c r="B834" s="6"/>
      <c r="C834" s="7"/>
      <c r="D834"/>
      <c r="E834"/>
      <c r="F834"/>
      <c r="G834"/>
      <c r="H834"/>
      <c r="I834"/>
      <c r="J834"/>
      <c r="K834"/>
      <c r="L834"/>
    </row>
    <row r="835" spans="2:12" s="2" customFormat="1" x14ac:dyDescent="0.25">
      <c r="B835" s="6"/>
      <c r="C835" s="7"/>
      <c r="D835"/>
      <c r="E835"/>
      <c r="F835"/>
      <c r="G835"/>
      <c r="H835"/>
      <c r="I835"/>
      <c r="J835"/>
      <c r="K835"/>
      <c r="L835"/>
    </row>
    <row r="836" spans="2:12" s="2" customFormat="1" x14ac:dyDescent="0.25">
      <c r="B836" s="6"/>
      <c r="C836" s="7"/>
      <c r="D836"/>
      <c r="E836"/>
      <c r="F836"/>
      <c r="G836"/>
      <c r="H836"/>
      <c r="I836"/>
      <c r="J836"/>
      <c r="K836"/>
      <c r="L836"/>
    </row>
    <row r="837" spans="2:12" s="2" customFormat="1" x14ac:dyDescent="0.25">
      <c r="B837" s="6"/>
      <c r="C837" s="7"/>
      <c r="D837"/>
      <c r="E837"/>
      <c r="F837"/>
      <c r="G837"/>
      <c r="H837"/>
      <c r="I837"/>
      <c r="J837"/>
      <c r="K837"/>
      <c r="L837"/>
    </row>
    <row r="838" spans="2:12" s="2" customFormat="1" x14ac:dyDescent="0.25">
      <c r="B838" s="6"/>
      <c r="C838" s="7"/>
      <c r="D838"/>
      <c r="E838"/>
      <c r="F838"/>
      <c r="G838"/>
      <c r="H838"/>
      <c r="I838"/>
      <c r="J838"/>
      <c r="K838"/>
      <c r="L838"/>
    </row>
    <row r="839" spans="2:12" s="2" customFormat="1" x14ac:dyDescent="0.25">
      <c r="B839" s="6"/>
      <c r="C839" s="7"/>
      <c r="D839"/>
      <c r="E839"/>
      <c r="F839"/>
      <c r="G839"/>
      <c r="H839"/>
      <c r="I839"/>
      <c r="J839"/>
      <c r="K839"/>
      <c r="L839"/>
    </row>
    <row r="840" spans="2:12" s="2" customFormat="1" x14ac:dyDescent="0.25">
      <c r="B840" s="6"/>
      <c r="C840" s="7"/>
      <c r="D840"/>
      <c r="E840"/>
      <c r="F840"/>
      <c r="G840"/>
      <c r="H840"/>
      <c r="I840"/>
      <c r="J840"/>
      <c r="K840"/>
      <c r="L840"/>
    </row>
    <row r="841" spans="2:12" s="2" customFormat="1" x14ac:dyDescent="0.25">
      <c r="B841" s="6"/>
      <c r="C841" s="7"/>
      <c r="D841"/>
      <c r="E841"/>
      <c r="F841"/>
      <c r="G841"/>
      <c r="H841"/>
      <c r="I841"/>
      <c r="J841"/>
      <c r="K841"/>
      <c r="L841"/>
    </row>
    <row r="842" spans="2:12" s="2" customFormat="1" x14ac:dyDescent="0.25">
      <c r="B842" s="6"/>
      <c r="C842" s="7"/>
      <c r="D842"/>
      <c r="E842"/>
      <c r="F842"/>
      <c r="G842"/>
      <c r="H842"/>
      <c r="I842"/>
      <c r="J842"/>
      <c r="K842"/>
      <c r="L842"/>
    </row>
    <row r="843" spans="2:12" s="2" customFormat="1" x14ac:dyDescent="0.25">
      <c r="B843" s="6"/>
      <c r="C843" s="7"/>
      <c r="D843"/>
      <c r="E843"/>
      <c r="F843"/>
      <c r="G843"/>
      <c r="H843"/>
      <c r="I843"/>
      <c r="J843"/>
      <c r="K843"/>
      <c r="L843"/>
    </row>
    <row r="844" spans="2:12" s="2" customFormat="1" x14ac:dyDescent="0.25">
      <c r="B844" s="6"/>
      <c r="C844" s="7"/>
      <c r="D844"/>
      <c r="E844"/>
      <c r="F844"/>
      <c r="G844"/>
      <c r="H844"/>
      <c r="I844"/>
      <c r="J844"/>
      <c r="K844"/>
      <c r="L844"/>
    </row>
    <row r="845" spans="2:12" s="2" customFormat="1" x14ac:dyDescent="0.25">
      <c r="B845" s="6"/>
      <c r="C845" s="7"/>
      <c r="D845"/>
      <c r="E845"/>
      <c r="F845"/>
      <c r="G845"/>
      <c r="H845"/>
      <c r="I845"/>
      <c r="J845"/>
      <c r="K845"/>
      <c r="L845"/>
    </row>
    <row r="846" spans="2:12" s="2" customFormat="1" x14ac:dyDescent="0.25">
      <c r="B846" s="6"/>
      <c r="C846" s="7"/>
      <c r="D846"/>
      <c r="E846"/>
      <c r="F846"/>
      <c r="G846"/>
      <c r="H846"/>
      <c r="I846"/>
      <c r="J846"/>
      <c r="K846"/>
      <c r="L846"/>
    </row>
    <row r="847" spans="2:12" s="2" customFormat="1" x14ac:dyDescent="0.25">
      <c r="B847" s="6"/>
      <c r="C847" s="7"/>
      <c r="D847"/>
      <c r="E847"/>
      <c r="F847"/>
      <c r="G847"/>
      <c r="H847"/>
      <c r="I847"/>
      <c r="J847"/>
      <c r="K847"/>
      <c r="L847"/>
    </row>
    <row r="848" spans="2:12" s="2" customFormat="1" x14ac:dyDescent="0.25">
      <c r="B848" s="6"/>
      <c r="C848" s="7"/>
      <c r="D848"/>
      <c r="E848"/>
      <c r="F848"/>
      <c r="G848"/>
      <c r="H848"/>
      <c r="I848"/>
      <c r="J848"/>
      <c r="K848"/>
      <c r="L848"/>
    </row>
    <row r="849" spans="2:12" s="2" customFormat="1" x14ac:dyDescent="0.25">
      <c r="B849" s="6"/>
      <c r="C849" s="7"/>
      <c r="D849"/>
      <c r="E849"/>
      <c r="F849"/>
      <c r="G849"/>
      <c r="H849"/>
      <c r="I849"/>
      <c r="J849"/>
      <c r="K849"/>
      <c r="L849"/>
    </row>
    <row r="850" spans="2:12" s="2" customFormat="1" x14ac:dyDescent="0.25">
      <c r="B850" s="6"/>
      <c r="C850" s="7"/>
      <c r="D850"/>
      <c r="E850"/>
      <c r="F850"/>
      <c r="G850"/>
      <c r="H850"/>
      <c r="I850"/>
      <c r="J850"/>
      <c r="K850"/>
      <c r="L850"/>
    </row>
    <row r="851" spans="2:12" s="2" customFormat="1" x14ac:dyDescent="0.25">
      <c r="B851" s="6"/>
      <c r="C851" s="7"/>
      <c r="D851"/>
      <c r="E851"/>
      <c r="F851"/>
      <c r="G851"/>
      <c r="H851"/>
      <c r="I851"/>
      <c r="J851"/>
      <c r="K851"/>
      <c r="L851"/>
    </row>
    <row r="852" spans="2:12" s="2" customFormat="1" x14ac:dyDescent="0.25">
      <c r="B852" s="6"/>
      <c r="C852" s="7"/>
      <c r="D852"/>
      <c r="E852"/>
      <c r="F852"/>
      <c r="G852"/>
      <c r="H852"/>
      <c r="I852"/>
      <c r="J852"/>
      <c r="K852"/>
      <c r="L852"/>
    </row>
    <row r="853" spans="2:12" s="2" customFormat="1" x14ac:dyDescent="0.25">
      <c r="B853" s="6"/>
      <c r="C853" s="7"/>
      <c r="D853"/>
      <c r="E853"/>
      <c r="F853"/>
      <c r="G853"/>
      <c r="H853"/>
      <c r="I853"/>
      <c r="J853"/>
      <c r="K853"/>
      <c r="L853"/>
    </row>
    <row r="854" spans="2:12" s="2" customFormat="1" x14ac:dyDescent="0.25">
      <c r="B854" s="6"/>
      <c r="C854" s="7"/>
      <c r="D854"/>
      <c r="E854"/>
      <c r="F854"/>
      <c r="G854"/>
      <c r="H854"/>
      <c r="I854"/>
      <c r="J854"/>
      <c r="K854"/>
      <c r="L854"/>
    </row>
    <row r="855" spans="2:12" s="2" customFormat="1" x14ac:dyDescent="0.25">
      <c r="B855" s="6"/>
      <c r="C855" s="7"/>
      <c r="D855"/>
      <c r="E855"/>
      <c r="F855"/>
      <c r="G855"/>
      <c r="H855"/>
      <c r="I855"/>
      <c r="J855"/>
      <c r="K855"/>
      <c r="L855"/>
    </row>
    <row r="856" spans="2:12" s="2" customFormat="1" x14ac:dyDescent="0.25">
      <c r="B856" s="6"/>
      <c r="C856" s="7"/>
      <c r="D856"/>
      <c r="E856"/>
      <c r="F856"/>
      <c r="G856"/>
      <c r="H856"/>
      <c r="I856"/>
      <c r="J856"/>
      <c r="K856"/>
      <c r="L856"/>
    </row>
    <row r="857" spans="2:12" s="2" customFormat="1" x14ac:dyDescent="0.25">
      <c r="B857" s="6"/>
      <c r="C857" s="7"/>
      <c r="D857"/>
      <c r="E857"/>
      <c r="F857"/>
      <c r="G857"/>
      <c r="H857"/>
      <c r="I857"/>
      <c r="J857"/>
      <c r="K857"/>
      <c r="L857"/>
    </row>
    <row r="858" spans="2:12" s="2" customFormat="1" x14ac:dyDescent="0.25">
      <c r="B858" s="6"/>
      <c r="C858" s="7"/>
      <c r="D858"/>
      <c r="E858"/>
      <c r="F858"/>
      <c r="G858"/>
      <c r="H858"/>
      <c r="I858"/>
      <c r="J858"/>
      <c r="K858"/>
      <c r="L858"/>
    </row>
    <row r="859" spans="2:12" s="2" customFormat="1" x14ac:dyDescent="0.25">
      <c r="B859" s="6"/>
      <c r="C859" s="7"/>
      <c r="D859"/>
      <c r="E859"/>
      <c r="F859"/>
      <c r="G859"/>
      <c r="H859"/>
      <c r="I859"/>
      <c r="J859"/>
      <c r="K859"/>
      <c r="L859"/>
    </row>
    <row r="860" spans="2:12" s="2" customFormat="1" x14ac:dyDescent="0.25">
      <c r="B860" s="6"/>
      <c r="C860" s="7"/>
      <c r="D860"/>
      <c r="E860"/>
      <c r="F860"/>
      <c r="G860"/>
      <c r="H860"/>
      <c r="I860"/>
      <c r="J860"/>
      <c r="K860"/>
      <c r="L860"/>
    </row>
    <row r="861" spans="2:12" s="2" customFormat="1" x14ac:dyDescent="0.25">
      <c r="B861" s="6"/>
      <c r="C861" s="7"/>
      <c r="D861"/>
      <c r="E861"/>
      <c r="F861"/>
      <c r="G861"/>
      <c r="H861"/>
      <c r="I861"/>
      <c r="J861"/>
      <c r="K861"/>
      <c r="L861"/>
    </row>
    <row r="862" spans="2:12" s="2" customFormat="1" x14ac:dyDescent="0.25">
      <c r="B862" s="6"/>
      <c r="C862" s="7"/>
      <c r="D862"/>
      <c r="E862"/>
      <c r="F862"/>
      <c r="G862"/>
      <c r="H862"/>
      <c r="I862"/>
      <c r="J862"/>
      <c r="K862"/>
      <c r="L862"/>
    </row>
    <row r="863" spans="2:12" s="2" customFormat="1" x14ac:dyDescent="0.25">
      <c r="B863" s="6"/>
      <c r="C863" s="7"/>
      <c r="D863"/>
      <c r="E863"/>
      <c r="F863"/>
      <c r="G863"/>
      <c r="H863"/>
      <c r="I863"/>
      <c r="J863"/>
      <c r="K863"/>
      <c r="L863"/>
    </row>
    <row r="864" spans="2:12" s="2" customFormat="1" x14ac:dyDescent="0.25">
      <c r="B864" s="6"/>
      <c r="C864" s="7"/>
      <c r="D864"/>
      <c r="E864"/>
      <c r="F864"/>
      <c r="G864"/>
      <c r="H864"/>
      <c r="I864"/>
      <c r="J864"/>
      <c r="K864"/>
      <c r="L864"/>
    </row>
    <row r="865" spans="2:12" s="2" customFormat="1" x14ac:dyDescent="0.25">
      <c r="B865" s="6"/>
      <c r="C865" s="7"/>
      <c r="D865"/>
      <c r="E865"/>
      <c r="F865"/>
      <c r="G865"/>
      <c r="H865"/>
      <c r="I865"/>
      <c r="J865"/>
      <c r="K865"/>
      <c r="L865"/>
    </row>
    <row r="866" spans="2:12" s="2" customFormat="1" x14ac:dyDescent="0.25">
      <c r="B866" s="6"/>
      <c r="C866" s="7"/>
      <c r="D866"/>
      <c r="E866"/>
      <c r="F866"/>
      <c r="G866"/>
      <c r="H866"/>
      <c r="I866"/>
      <c r="J866"/>
      <c r="K866"/>
      <c r="L866"/>
    </row>
    <row r="867" spans="2:12" s="2" customFormat="1" x14ac:dyDescent="0.25">
      <c r="B867" s="6"/>
      <c r="C867" s="7"/>
      <c r="D867"/>
      <c r="E867"/>
      <c r="F867"/>
      <c r="G867"/>
      <c r="H867"/>
      <c r="I867"/>
      <c r="J867"/>
      <c r="K867"/>
      <c r="L867"/>
    </row>
    <row r="868" spans="2:12" s="2" customFormat="1" x14ac:dyDescent="0.25">
      <c r="B868" s="6"/>
      <c r="C868" s="7"/>
      <c r="D868"/>
      <c r="E868"/>
      <c r="F868"/>
      <c r="G868"/>
      <c r="H868"/>
      <c r="I868"/>
      <c r="J868"/>
      <c r="K868"/>
      <c r="L868"/>
    </row>
    <row r="869" spans="2:12" s="2" customFormat="1" x14ac:dyDescent="0.25">
      <c r="B869" s="6"/>
      <c r="C869" s="7"/>
      <c r="D869"/>
      <c r="E869"/>
      <c r="F869"/>
      <c r="G869"/>
      <c r="H869"/>
      <c r="I869"/>
      <c r="J869"/>
      <c r="K869"/>
      <c r="L869"/>
    </row>
    <row r="870" spans="2:12" s="2" customFormat="1" x14ac:dyDescent="0.25">
      <c r="B870" s="6"/>
      <c r="C870" s="7"/>
      <c r="D870"/>
      <c r="E870"/>
      <c r="F870"/>
      <c r="G870"/>
      <c r="H870"/>
      <c r="I870"/>
      <c r="J870"/>
      <c r="K870"/>
      <c r="L870"/>
    </row>
    <row r="871" spans="2:12" s="2" customFormat="1" x14ac:dyDescent="0.25">
      <c r="B871" s="6"/>
      <c r="C871" s="7"/>
      <c r="D871"/>
      <c r="E871"/>
      <c r="F871"/>
      <c r="G871"/>
      <c r="H871"/>
      <c r="I871"/>
      <c r="J871"/>
      <c r="K871"/>
      <c r="L871"/>
    </row>
    <row r="872" spans="2:12" s="2" customFormat="1" x14ac:dyDescent="0.25">
      <c r="B872" s="6"/>
      <c r="C872" s="7"/>
      <c r="D872"/>
      <c r="E872"/>
      <c r="F872"/>
      <c r="G872"/>
      <c r="H872"/>
      <c r="I872"/>
      <c r="J872"/>
      <c r="K872"/>
      <c r="L872"/>
    </row>
    <row r="873" spans="2:12" s="2" customFormat="1" x14ac:dyDescent="0.25">
      <c r="B873" s="6"/>
      <c r="C873" s="7"/>
      <c r="D873"/>
      <c r="E873"/>
      <c r="F873"/>
      <c r="G873"/>
      <c r="H873"/>
      <c r="I873"/>
      <c r="J873"/>
      <c r="K873"/>
      <c r="L873"/>
    </row>
    <row r="874" spans="2:12" s="2" customFormat="1" x14ac:dyDescent="0.25">
      <c r="B874" s="6"/>
      <c r="C874" s="7"/>
      <c r="D874"/>
      <c r="E874"/>
      <c r="F874"/>
      <c r="G874"/>
      <c r="H874"/>
      <c r="I874"/>
      <c r="J874"/>
      <c r="K874"/>
      <c r="L874"/>
    </row>
    <row r="875" spans="2:12" s="2" customFormat="1" x14ac:dyDescent="0.25">
      <c r="B875" s="6"/>
      <c r="C875" s="7"/>
      <c r="D875"/>
      <c r="E875"/>
      <c r="F875"/>
      <c r="G875"/>
      <c r="H875"/>
      <c r="I875"/>
      <c r="J875"/>
      <c r="K875"/>
      <c r="L875"/>
    </row>
    <row r="876" spans="2:12" s="2" customFormat="1" x14ac:dyDescent="0.25">
      <c r="B876" s="6"/>
      <c r="C876" s="7"/>
      <c r="D876"/>
      <c r="E876"/>
      <c r="F876"/>
      <c r="G876"/>
      <c r="H876"/>
      <c r="I876"/>
      <c r="J876"/>
      <c r="K876"/>
      <c r="L876"/>
    </row>
    <row r="877" spans="2:12" s="2" customFormat="1" x14ac:dyDescent="0.25">
      <c r="B877" s="6"/>
      <c r="C877" s="7"/>
      <c r="D877"/>
      <c r="E877"/>
      <c r="F877"/>
      <c r="G877"/>
      <c r="H877"/>
      <c r="I877"/>
      <c r="J877"/>
      <c r="K877"/>
      <c r="L877"/>
    </row>
    <row r="878" spans="2:12" s="2" customFormat="1" x14ac:dyDescent="0.25">
      <c r="B878" s="6"/>
      <c r="C878" s="7"/>
      <c r="D878"/>
      <c r="E878"/>
      <c r="F878"/>
      <c r="G878"/>
      <c r="H878"/>
      <c r="I878"/>
      <c r="J878"/>
      <c r="K878"/>
      <c r="L878"/>
    </row>
    <row r="879" spans="2:12" s="2" customFormat="1" x14ac:dyDescent="0.25">
      <c r="B879" s="6"/>
      <c r="C879" s="7"/>
      <c r="D879"/>
      <c r="E879"/>
      <c r="F879"/>
      <c r="G879"/>
      <c r="H879"/>
      <c r="I879"/>
      <c r="J879"/>
      <c r="K879"/>
      <c r="L879"/>
    </row>
    <row r="880" spans="2:12" s="2" customFormat="1" x14ac:dyDescent="0.25">
      <c r="B880" s="6"/>
      <c r="C880" s="7"/>
      <c r="D880"/>
      <c r="E880"/>
      <c r="F880"/>
      <c r="G880"/>
      <c r="H880"/>
      <c r="I880"/>
      <c r="J880"/>
      <c r="K880"/>
      <c r="L880"/>
    </row>
    <row r="881" spans="2:12" s="2" customFormat="1" x14ac:dyDescent="0.25">
      <c r="B881" s="6"/>
      <c r="C881" s="7"/>
      <c r="D881"/>
      <c r="E881"/>
      <c r="F881"/>
      <c r="G881"/>
      <c r="H881"/>
      <c r="I881"/>
      <c r="J881"/>
      <c r="K881"/>
      <c r="L881"/>
    </row>
    <row r="882" spans="2:12" s="2" customFormat="1" x14ac:dyDescent="0.25">
      <c r="B882" s="6"/>
      <c r="C882" s="7"/>
      <c r="D882"/>
      <c r="E882"/>
      <c r="F882"/>
      <c r="G882"/>
      <c r="H882"/>
      <c r="I882"/>
      <c r="J882"/>
      <c r="K882"/>
      <c r="L882"/>
    </row>
    <row r="883" spans="2:12" s="2" customFormat="1" x14ac:dyDescent="0.25">
      <c r="B883" s="6"/>
      <c r="C883" s="7"/>
      <c r="D883"/>
      <c r="E883"/>
      <c r="F883"/>
      <c r="G883"/>
      <c r="H883"/>
      <c r="I883"/>
      <c r="J883"/>
      <c r="K883"/>
      <c r="L883"/>
    </row>
    <row r="884" spans="2:12" s="2" customFormat="1" x14ac:dyDescent="0.25">
      <c r="B884" s="6"/>
      <c r="C884" s="7"/>
      <c r="D884"/>
      <c r="E884"/>
      <c r="F884"/>
      <c r="G884"/>
      <c r="H884"/>
      <c r="I884"/>
      <c r="J884"/>
      <c r="K884"/>
      <c r="L884"/>
    </row>
    <row r="885" spans="2:12" s="2" customFormat="1" x14ac:dyDescent="0.25">
      <c r="B885" s="6"/>
      <c r="C885" s="7"/>
      <c r="D885"/>
      <c r="E885"/>
      <c r="F885"/>
      <c r="G885"/>
      <c r="H885"/>
      <c r="I885"/>
      <c r="J885"/>
      <c r="K885"/>
      <c r="L885"/>
    </row>
    <row r="886" spans="2:12" s="2" customFormat="1" x14ac:dyDescent="0.25">
      <c r="B886" s="6"/>
      <c r="C886" s="7"/>
      <c r="D886"/>
      <c r="E886"/>
      <c r="F886"/>
      <c r="G886"/>
      <c r="H886"/>
      <c r="I886"/>
      <c r="J886"/>
      <c r="K886"/>
      <c r="L886"/>
    </row>
    <row r="887" spans="2:12" s="2" customFormat="1" x14ac:dyDescent="0.25">
      <c r="B887" s="6"/>
      <c r="C887" s="7"/>
      <c r="D887"/>
      <c r="E887"/>
      <c r="F887"/>
      <c r="G887"/>
      <c r="H887"/>
      <c r="I887"/>
      <c r="J887"/>
      <c r="K887"/>
      <c r="L887"/>
    </row>
    <row r="888" spans="2:12" s="2" customFormat="1" x14ac:dyDescent="0.25">
      <c r="B888" s="6"/>
      <c r="C888" s="7"/>
      <c r="D888"/>
      <c r="E888"/>
      <c r="F888"/>
      <c r="G888"/>
      <c r="H888"/>
      <c r="I888"/>
      <c r="J888"/>
      <c r="K888"/>
      <c r="L888"/>
    </row>
    <row r="889" spans="2:12" s="2" customFormat="1" x14ac:dyDescent="0.25">
      <c r="B889" s="6"/>
      <c r="C889" s="7"/>
      <c r="D889"/>
      <c r="E889"/>
      <c r="F889"/>
      <c r="G889"/>
      <c r="H889"/>
      <c r="I889"/>
      <c r="J889"/>
      <c r="K889"/>
      <c r="L889"/>
    </row>
    <row r="890" spans="2:12" s="2" customFormat="1" x14ac:dyDescent="0.25">
      <c r="B890" s="6"/>
      <c r="C890" s="7"/>
      <c r="D890"/>
      <c r="E890"/>
      <c r="F890"/>
      <c r="G890"/>
      <c r="H890"/>
      <c r="I890"/>
      <c r="J890"/>
      <c r="K890"/>
      <c r="L890"/>
    </row>
    <row r="891" spans="2:12" s="2" customFormat="1" x14ac:dyDescent="0.25">
      <c r="B891" s="6"/>
      <c r="C891" s="7"/>
      <c r="D891"/>
      <c r="E891"/>
      <c r="F891"/>
      <c r="G891"/>
      <c r="H891"/>
      <c r="I891"/>
      <c r="J891"/>
      <c r="K891"/>
      <c r="L891"/>
    </row>
    <row r="892" spans="2:12" s="2" customFormat="1" x14ac:dyDescent="0.25">
      <c r="B892" s="6"/>
      <c r="C892" s="7"/>
      <c r="D892"/>
      <c r="E892"/>
      <c r="F892"/>
      <c r="G892"/>
      <c r="H892"/>
      <c r="I892"/>
      <c r="J892"/>
      <c r="K892"/>
      <c r="L892"/>
    </row>
    <row r="893" spans="2:12" s="2" customFormat="1" x14ac:dyDescent="0.25">
      <c r="B893" s="6"/>
      <c r="C893" s="7"/>
      <c r="D893"/>
      <c r="E893"/>
      <c r="F893"/>
      <c r="G893"/>
      <c r="H893"/>
      <c r="I893"/>
      <c r="J893"/>
      <c r="K893"/>
      <c r="L893"/>
    </row>
    <row r="894" spans="2:12" s="2" customFormat="1" x14ac:dyDescent="0.25">
      <c r="B894" s="6"/>
      <c r="C894" s="7"/>
      <c r="D894"/>
      <c r="E894"/>
      <c r="F894"/>
      <c r="G894"/>
      <c r="H894"/>
      <c r="I894"/>
      <c r="J894"/>
      <c r="K894"/>
      <c r="L894"/>
    </row>
    <row r="895" spans="2:12" s="2" customFormat="1" x14ac:dyDescent="0.25">
      <c r="B895" s="6"/>
      <c r="C895" s="7"/>
      <c r="D895"/>
      <c r="E895"/>
      <c r="F895"/>
      <c r="G895"/>
      <c r="H895"/>
      <c r="I895"/>
      <c r="J895"/>
      <c r="K895"/>
      <c r="L895"/>
    </row>
    <row r="896" spans="2:12" s="2" customFormat="1" x14ac:dyDescent="0.25">
      <c r="B896" s="6"/>
      <c r="C896" s="7"/>
      <c r="D896"/>
      <c r="E896"/>
      <c r="F896"/>
      <c r="G896"/>
      <c r="H896"/>
      <c r="I896"/>
      <c r="J896"/>
      <c r="K896"/>
      <c r="L896"/>
    </row>
    <row r="897" spans="2:12" s="2" customFormat="1" x14ac:dyDescent="0.25">
      <c r="B897" s="6"/>
      <c r="C897" s="7"/>
      <c r="D897"/>
      <c r="E897"/>
      <c r="F897"/>
      <c r="G897"/>
      <c r="H897"/>
      <c r="I897"/>
      <c r="J897"/>
      <c r="K897"/>
      <c r="L897"/>
    </row>
    <row r="898" spans="2:12" s="2" customFormat="1" x14ac:dyDescent="0.25">
      <c r="B898" s="6"/>
      <c r="C898" s="7"/>
      <c r="D898"/>
      <c r="E898"/>
      <c r="F898"/>
      <c r="G898"/>
      <c r="H898"/>
      <c r="I898"/>
      <c r="J898"/>
      <c r="K898"/>
      <c r="L898"/>
    </row>
    <row r="899" spans="2:12" s="2" customFormat="1" x14ac:dyDescent="0.25">
      <c r="B899" s="6"/>
      <c r="C899" s="7"/>
      <c r="D899"/>
      <c r="E899"/>
      <c r="F899"/>
      <c r="G899"/>
      <c r="H899"/>
      <c r="I899"/>
      <c r="J899"/>
      <c r="K899"/>
      <c r="L899"/>
    </row>
    <row r="900" spans="2:12" s="2" customFormat="1" x14ac:dyDescent="0.25">
      <c r="B900" s="6"/>
      <c r="C900" s="7"/>
      <c r="D900"/>
      <c r="E900"/>
      <c r="F900"/>
      <c r="G900"/>
      <c r="H900"/>
      <c r="I900"/>
      <c r="J900"/>
      <c r="K900"/>
      <c r="L900"/>
    </row>
    <row r="901" spans="2:12" s="2" customFormat="1" x14ac:dyDescent="0.25">
      <c r="B901" s="6"/>
      <c r="C901" s="7"/>
      <c r="D901"/>
      <c r="E901"/>
      <c r="F901"/>
      <c r="G901"/>
      <c r="H901"/>
      <c r="I901"/>
      <c r="J901"/>
      <c r="K901"/>
      <c r="L901"/>
    </row>
    <row r="902" spans="2:12" s="2" customFormat="1" x14ac:dyDescent="0.25">
      <c r="B902" s="6"/>
      <c r="C902" s="7"/>
      <c r="D902"/>
      <c r="E902"/>
      <c r="F902"/>
      <c r="G902"/>
      <c r="H902"/>
      <c r="I902"/>
      <c r="J902"/>
      <c r="K902"/>
      <c r="L902"/>
    </row>
    <row r="903" spans="2:12" s="2" customFormat="1" x14ac:dyDescent="0.25">
      <c r="B903" s="6"/>
      <c r="C903" s="7"/>
      <c r="D903"/>
      <c r="E903"/>
      <c r="F903"/>
      <c r="G903"/>
      <c r="H903"/>
      <c r="I903"/>
      <c r="J903"/>
      <c r="K903"/>
      <c r="L903"/>
    </row>
    <row r="904" spans="2:12" s="2" customFormat="1" x14ac:dyDescent="0.25">
      <c r="B904" s="6"/>
      <c r="C904" s="7"/>
      <c r="D904"/>
      <c r="E904"/>
      <c r="F904"/>
      <c r="G904"/>
      <c r="H904"/>
      <c r="I904"/>
      <c r="J904"/>
      <c r="K904"/>
      <c r="L904"/>
    </row>
    <row r="905" spans="2:12" s="2" customFormat="1" x14ac:dyDescent="0.25">
      <c r="B905" s="6"/>
      <c r="C905" s="7"/>
      <c r="D905"/>
      <c r="E905"/>
      <c r="F905"/>
      <c r="G905"/>
      <c r="H905"/>
      <c r="I905"/>
      <c r="J905"/>
      <c r="K905"/>
      <c r="L905"/>
    </row>
    <row r="906" spans="2:12" s="2" customFormat="1" x14ac:dyDescent="0.25">
      <c r="B906" s="6"/>
      <c r="C906" s="7"/>
      <c r="D906"/>
      <c r="E906"/>
      <c r="F906"/>
      <c r="G906"/>
      <c r="H906"/>
      <c r="I906"/>
      <c r="J906"/>
      <c r="K906"/>
      <c r="L906"/>
    </row>
    <row r="907" spans="2:12" s="2" customFormat="1" x14ac:dyDescent="0.25">
      <c r="B907" s="6"/>
      <c r="C907" s="7"/>
      <c r="D907"/>
      <c r="E907"/>
      <c r="F907"/>
      <c r="G907"/>
      <c r="H907"/>
      <c r="I907"/>
      <c r="J907"/>
      <c r="K907"/>
      <c r="L907"/>
    </row>
    <row r="908" spans="2:12" s="2" customFormat="1" x14ac:dyDescent="0.25">
      <c r="B908" s="6"/>
      <c r="C908" s="7"/>
      <c r="D908"/>
      <c r="E908"/>
      <c r="F908"/>
      <c r="G908"/>
      <c r="H908"/>
      <c r="I908"/>
      <c r="J908"/>
      <c r="K908"/>
      <c r="L908"/>
    </row>
    <row r="909" spans="2:12" s="2" customFormat="1" x14ac:dyDescent="0.25">
      <c r="B909" s="6"/>
      <c r="C909" s="7"/>
      <c r="D909"/>
      <c r="E909"/>
      <c r="F909"/>
      <c r="G909"/>
      <c r="H909"/>
      <c r="I909"/>
      <c r="J909"/>
      <c r="K909"/>
      <c r="L909"/>
    </row>
    <row r="910" spans="2:12" s="2" customFormat="1" x14ac:dyDescent="0.25">
      <c r="B910" s="6"/>
      <c r="C910" s="7"/>
      <c r="D910"/>
      <c r="E910"/>
      <c r="F910"/>
      <c r="G910"/>
      <c r="H910"/>
      <c r="I910"/>
      <c r="J910"/>
      <c r="K910"/>
      <c r="L910"/>
    </row>
    <row r="911" spans="2:12" s="2" customFormat="1" x14ac:dyDescent="0.25">
      <c r="B911" s="6"/>
      <c r="C911" s="7"/>
      <c r="D911"/>
      <c r="E911"/>
      <c r="F911"/>
      <c r="G911"/>
      <c r="H911"/>
      <c r="I911"/>
      <c r="J911"/>
      <c r="K911"/>
      <c r="L911"/>
    </row>
    <row r="912" spans="2:12" s="2" customFormat="1" x14ac:dyDescent="0.25">
      <c r="B912" s="6"/>
      <c r="C912" s="7"/>
      <c r="D912"/>
      <c r="E912"/>
      <c r="F912"/>
      <c r="G912"/>
      <c r="H912"/>
      <c r="I912"/>
      <c r="J912"/>
      <c r="K912"/>
      <c r="L912"/>
    </row>
    <row r="913" spans="2:12" s="2" customFormat="1" x14ac:dyDescent="0.25">
      <c r="B913" s="6"/>
      <c r="C913" s="7"/>
      <c r="D913"/>
      <c r="E913"/>
      <c r="F913"/>
      <c r="G913"/>
      <c r="H913"/>
      <c r="I913"/>
      <c r="J913"/>
      <c r="K913"/>
      <c r="L913"/>
    </row>
    <row r="914" spans="2:12" s="2" customFormat="1" x14ac:dyDescent="0.25">
      <c r="B914" s="6"/>
      <c r="C914" s="7"/>
      <c r="D914"/>
      <c r="E914"/>
      <c r="F914"/>
      <c r="G914"/>
      <c r="H914"/>
      <c r="I914"/>
      <c r="J914"/>
      <c r="K914"/>
      <c r="L914"/>
    </row>
    <row r="915" spans="2:12" s="2" customFormat="1" x14ac:dyDescent="0.25">
      <c r="B915" s="6"/>
      <c r="C915" s="7"/>
      <c r="D915"/>
      <c r="E915"/>
      <c r="F915"/>
      <c r="G915"/>
      <c r="H915"/>
      <c r="I915"/>
      <c r="J915"/>
      <c r="K915"/>
      <c r="L915"/>
    </row>
    <row r="916" spans="2:12" s="2" customFormat="1" x14ac:dyDescent="0.25">
      <c r="B916" s="6"/>
      <c r="C916" s="7"/>
      <c r="D916"/>
      <c r="E916"/>
      <c r="F916"/>
      <c r="G916"/>
      <c r="H916"/>
      <c r="I916"/>
      <c r="J916"/>
      <c r="K916"/>
      <c r="L916"/>
    </row>
    <row r="917" spans="2:12" s="2" customFormat="1" x14ac:dyDescent="0.25">
      <c r="B917" s="6"/>
      <c r="C917" s="7"/>
      <c r="D917"/>
      <c r="E917"/>
      <c r="F917"/>
      <c r="G917"/>
      <c r="H917"/>
      <c r="I917"/>
      <c r="J917"/>
      <c r="K917"/>
      <c r="L917"/>
    </row>
    <row r="918" spans="2:12" s="2" customFormat="1" x14ac:dyDescent="0.25">
      <c r="B918" s="6"/>
      <c r="C918" s="7"/>
      <c r="D918"/>
      <c r="E918"/>
      <c r="F918"/>
      <c r="G918"/>
      <c r="H918"/>
      <c r="I918"/>
      <c r="J918"/>
      <c r="K918"/>
      <c r="L918"/>
    </row>
    <row r="919" spans="2:12" s="2" customFormat="1" x14ac:dyDescent="0.25">
      <c r="B919" s="6"/>
      <c r="C919" s="7"/>
      <c r="D919"/>
      <c r="E919"/>
      <c r="F919"/>
      <c r="G919"/>
      <c r="H919"/>
      <c r="I919"/>
      <c r="J919"/>
      <c r="K919"/>
      <c r="L919"/>
    </row>
    <row r="920" spans="2:12" s="2" customFormat="1" x14ac:dyDescent="0.25">
      <c r="B920" s="6"/>
      <c r="C920" s="7"/>
      <c r="D920"/>
      <c r="E920"/>
      <c r="F920"/>
      <c r="G920"/>
      <c r="H920"/>
      <c r="I920"/>
      <c r="J920"/>
      <c r="K920"/>
      <c r="L920"/>
    </row>
    <row r="921" spans="2:12" s="2" customFormat="1" x14ac:dyDescent="0.25">
      <c r="B921" s="6"/>
      <c r="C921" s="7"/>
      <c r="D921"/>
      <c r="E921"/>
      <c r="F921"/>
      <c r="G921"/>
      <c r="H921"/>
      <c r="I921"/>
      <c r="J921"/>
      <c r="K921"/>
      <c r="L921"/>
    </row>
    <row r="922" spans="2:12" s="2" customFormat="1" x14ac:dyDescent="0.25">
      <c r="B922" s="6"/>
      <c r="C922" s="7"/>
      <c r="D922"/>
      <c r="E922"/>
      <c r="F922"/>
      <c r="G922"/>
      <c r="H922"/>
      <c r="I922"/>
      <c r="J922"/>
      <c r="K922"/>
      <c r="L922"/>
    </row>
    <row r="923" spans="2:12" s="2" customFormat="1" x14ac:dyDescent="0.25">
      <c r="B923" s="6"/>
      <c r="C923" s="7"/>
      <c r="D923"/>
      <c r="E923"/>
      <c r="F923"/>
      <c r="G923"/>
      <c r="H923"/>
      <c r="I923"/>
      <c r="J923"/>
      <c r="K923"/>
      <c r="L923"/>
    </row>
    <row r="924" spans="2:12" s="2" customFormat="1" x14ac:dyDescent="0.25">
      <c r="B924" s="6"/>
      <c r="C924" s="7"/>
      <c r="D924"/>
      <c r="E924"/>
      <c r="F924"/>
      <c r="G924"/>
      <c r="H924"/>
      <c r="I924"/>
      <c r="J924"/>
      <c r="K924"/>
      <c r="L924"/>
    </row>
    <row r="925" spans="2:12" s="2" customFormat="1" x14ac:dyDescent="0.25">
      <c r="B925" s="6"/>
      <c r="C925" s="7"/>
      <c r="D925"/>
      <c r="E925"/>
      <c r="F925"/>
      <c r="G925"/>
      <c r="H925"/>
      <c r="I925"/>
      <c r="J925"/>
      <c r="K925"/>
      <c r="L925"/>
    </row>
    <row r="926" spans="2:12" s="2" customFormat="1" x14ac:dyDescent="0.25">
      <c r="B926" s="6"/>
      <c r="C926" s="7"/>
      <c r="D926"/>
      <c r="E926"/>
      <c r="F926"/>
      <c r="G926"/>
      <c r="H926"/>
      <c r="I926"/>
      <c r="J926"/>
      <c r="K926"/>
      <c r="L926"/>
    </row>
    <row r="927" spans="2:12" s="2" customFormat="1" x14ac:dyDescent="0.25">
      <c r="B927" s="6"/>
      <c r="C927" s="7"/>
      <c r="D927"/>
      <c r="E927"/>
      <c r="F927"/>
      <c r="G927"/>
      <c r="H927"/>
      <c r="I927"/>
      <c r="J927"/>
      <c r="K927"/>
      <c r="L927"/>
    </row>
    <row r="928" spans="2:12" s="2" customFormat="1" x14ac:dyDescent="0.25">
      <c r="B928" s="6"/>
      <c r="C928" s="7"/>
      <c r="D928"/>
      <c r="E928"/>
      <c r="F928"/>
      <c r="G928"/>
      <c r="H928"/>
      <c r="I928"/>
      <c r="J928"/>
      <c r="K928"/>
      <c r="L928"/>
    </row>
    <row r="929" spans="2:12" s="2" customFormat="1" x14ac:dyDescent="0.25">
      <c r="B929" s="6"/>
      <c r="C929" s="7"/>
      <c r="D929"/>
      <c r="E929"/>
      <c r="F929"/>
      <c r="G929"/>
      <c r="H929"/>
      <c r="I929"/>
      <c r="J929"/>
      <c r="K929"/>
      <c r="L929"/>
    </row>
    <row r="930" spans="2:12" s="2" customFormat="1" x14ac:dyDescent="0.25">
      <c r="B930" s="6"/>
      <c r="C930" s="7"/>
      <c r="D930"/>
      <c r="E930"/>
      <c r="F930"/>
      <c r="G930"/>
      <c r="H930"/>
      <c r="I930"/>
      <c r="J930"/>
      <c r="K930"/>
      <c r="L930"/>
    </row>
    <row r="931" spans="2:12" s="2" customFormat="1" x14ac:dyDescent="0.25">
      <c r="B931" s="6"/>
      <c r="C931" s="7"/>
      <c r="D931"/>
      <c r="E931"/>
      <c r="F931"/>
      <c r="G931"/>
      <c r="H931"/>
      <c r="I931"/>
      <c r="J931"/>
      <c r="K931"/>
      <c r="L931"/>
    </row>
    <row r="932" spans="2:12" s="2" customFormat="1" x14ac:dyDescent="0.25">
      <c r="B932" s="6"/>
      <c r="C932" s="7"/>
      <c r="D932"/>
      <c r="E932"/>
      <c r="F932"/>
      <c r="G932"/>
      <c r="H932"/>
      <c r="I932"/>
      <c r="J932"/>
      <c r="K932"/>
      <c r="L932"/>
    </row>
    <row r="933" spans="2:12" s="2" customFormat="1" x14ac:dyDescent="0.25">
      <c r="B933" s="6"/>
      <c r="C933" s="7"/>
      <c r="D933"/>
      <c r="E933"/>
      <c r="F933"/>
      <c r="G933"/>
      <c r="H933"/>
      <c r="I933"/>
      <c r="J933"/>
      <c r="K933"/>
      <c r="L933"/>
    </row>
    <row r="934" spans="2:12" s="2" customFormat="1" x14ac:dyDescent="0.25">
      <c r="B934" s="6"/>
      <c r="C934" s="7"/>
      <c r="D934"/>
      <c r="E934"/>
      <c r="F934"/>
      <c r="G934"/>
      <c r="H934"/>
      <c r="I934"/>
      <c r="J934"/>
      <c r="K934"/>
      <c r="L934"/>
    </row>
    <row r="935" spans="2:12" s="2" customFormat="1" x14ac:dyDescent="0.25">
      <c r="B935" s="6"/>
      <c r="C935" s="7"/>
      <c r="D935"/>
      <c r="E935"/>
      <c r="F935"/>
      <c r="G935"/>
      <c r="H935"/>
      <c r="I935"/>
      <c r="J935"/>
      <c r="K935"/>
      <c r="L935"/>
    </row>
    <row r="936" spans="2:12" s="2" customFormat="1" x14ac:dyDescent="0.25">
      <c r="B936" s="6"/>
      <c r="C936" s="7"/>
      <c r="D936"/>
      <c r="E936"/>
      <c r="F936"/>
      <c r="G936"/>
      <c r="H936"/>
      <c r="I936"/>
      <c r="J936"/>
      <c r="K936"/>
      <c r="L936"/>
    </row>
    <row r="937" spans="2:12" s="2" customFormat="1" x14ac:dyDescent="0.25">
      <c r="B937" s="6"/>
      <c r="C937" s="7"/>
      <c r="D937"/>
      <c r="E937"/>
      <c r="F937"/>
      <c r="G937"/>
      <c r="H937"/>
      <c r="I937"/>
      <c r="J937"/>
      <c r="K937"/>
      <c r="L937"/>
    </row>
    <row r="938" spans="2:12" s="2" customFormat="1" x14ac:dyDescent="0.25">
      <c r="B938" s="6"/>
      <c r="C938" s="7"/>
      <c r="D938"/>
      <c r="E938"/>
      <c r="F938"/>
      <c r="G938"/>
      <c r="H938"/>
      <c r="I938"/>
      <c r="J938"/>
      <c r="K938"/>
      <c r="L938"/>
    </row>
    <row r="939" spans="2:12" s="2" customFormat="1" x14ac:dyDescent="0.25">
      <c r="B939" s="6"/>
      <c r="C939" s="7"/>
      <c r="D939"/>
      <c r="E939"/>
      <c r="F939"/>
      <c r="G939"/>
      <c r="H939"/>
      <c r="I939"/>
      <c r="J939"/>
      <c r="K939"/>
      <c r="L939"/>
    </row>
    <row r="940" spans="2:12" s="2" customFormat="1" x14ac:dyDescent="0.25">
      <c r="B940" s="6"/>
      <c r="C940" s="7"/>
      <c r="D940"/>
      <c r="E940"/>
      <c r="F940"/>
      <c r="G940"/>
      <c r="H940"/>
      <c r="I940"/>
      <c r="J940"/>
      <c r="K940"/>
      <c r="L940"/>
    </row>
    <row r="941" spans="2:12" s="2" customFormat="1" x14ac:dyDescent="0.25">
      <c r="B941" s="6"/>
      <c r="C941" s="7"/>
      <c r="D941"/>
      <c r="E941"/>
      <c r="F941"/>
      <c r="G941"/>
      <c r="H941"/>
      <c r="I941"/>
      <c r="J941"/>
      <c r="K941"/>
      <c r="L941"/>
    </row>
    <row r="942" spans="2:12" s="2" customFormat="1" x14ac:dyDescent="0.25">
      <c r="B942" s="6"/>
      <c r="C942" s="7"/>
      <c r="D942"/>
      <c r="E942"/>
      <c r="F942"/>
      <c r="G942"/>
      <c r="H942"/>
      <c r="I942"/>
      <c r="J942"/>
      <c r="K942"/>
      <c r="L942"/>
    </row>
    <row r="943" spans="2:12" s="2" customFormat="1" x14ac:dyDescent="0.25">
      <c r="B943" s="6"/>
      <c r="C943" s="7"/>
      <c r="D943"/>
      <c r="E943"/>
      <c r="F943"/>
      <c r="G943"/>
      <c r="H943"/>
      <c r="I943"/>
      <c r="J943"/>
      <c r="K943"/>
      <c r="L943"/>
    </row>
    <row r="944" spans="2:12" s="2" customFormat="1" x14ac:dyDescent="0.25">
      <c r="B944" s="6"/>
      <c r="C944" s="7"/>
      <c r="D944"/>
      <c r="E944"/>
      <c r="F944"/>
      <c r="G944"/>
      <c r="H944"/>
      <c r="I944"/>
      <c r="J944"/>
      <c r="K944"/>
      <c r="L944"/>
    </row>
    <row r="945" spans="2:12" s="2" customFormat="1" x14ac:dyDescent="0.25">
      <c r="B945" s="6"/>
      <c r="C945" s="7"/>
      <c r="D945"/>
      <c r="E945"/>
      <c r="F945"/>
      <c r="G945"/>
      <c r="H945"/>
      <c r="I945"/>
      <c r="J945"/>
      <c r="K945"/>
      <c r="L945"/>
    </row>
    <row r="946" spans="2:12" s="2" customFormat="1" x14ac:dyDescent="0.25">
      <c r="B946" s="6"/>
      <c r="C946" s="7"/>
      <c r="D946"/>
      <c r="E946"/>
      <c r="F946"/>
      <c r="G946"/>
      <c r="H946"/>
      <c r="I946"/>
      <c r="J946"/>
      <c r="K946"/>
      <c r="L946"/>
    </row>
    <row r="947" spans="2:12" s="2" customFormat="1" x14ac:dyDescent="0.25">
      <c r="B947" s="6"/>
      <c r="C947" s="7"/>
      <c r="D947"/>
      <c r="E947"/>
      <c r="F947"/>
      <c r="G947"/>
      <c r="H947"/>
      <c r="I947"/>
      <c r="J947"/>
      <c r="K947"/>
      <c r="L947"/>
    </row>
    <row r="948" spans="2:12" s="2" customFormat="1" x14ac:dyDescent="0.25">
      <c r="B948" s="6"/>
      <c r="C948" s="7"/>
      <c r="D948"/>
      <c r="E948"/>
      <c r="F948"/>
      <c r="G948"/>
      <c r="H948"/>
      <c r="I948"/>
      <c r="J948"/>
      <c r="K948"/>
      <c r="L948"/>
    </row>
    <row r="949" spans="2:12" s="2" customFormat="1" x14ac:dyDescent="0.25">
      <c r="B949" s="6"/>
      <c r="C949" s="7"/>
      <c r="D949"/>
      <c r="E949"/>
      <c r="F949"/>
      <c r="G949"/>
      <c r="H949"/>
      <c r="I949"/>
      <c r="J949"/>
      <c r="K949"/>
      <c r="L949"/>
    </row>
    <row r="950" spans="2:12" s="2" customFormat="1" x14ac:dyDescent="0.25">
      <c r="B950" s="6"/>
      <c r="C950" s="7"/>
      <c r="D950"/>
      <c r="E950"/>
      <c r="F950"/>
      <c r="G950"/>
      <c r="H950"/>
      <c r="I950"/>
      <c r="J950"/>
      <c r="K950"/>
      <c r="L950"/>
    </row>
    <row r="951" spans="2:12" s="2" customFormat="1" x14ac:dyDescent="0.25">
      <c r="B951" s="6"/>
      <c r="C951" s="7"/>
      <c r="D951"/>
      <c r="E951"/>
      <c r="F951"/>
      <c r="G951"/>
      <c r="H951"/>
      <c r="I951"/>
      <c r="J951"/>
      <c r="K951"/>
      <c r="L951"/>
    </row>
    <row r="952" spans="2:12" s="2" customFormat="1" x14ac:dyDescent="0.25">
      <c r="B952" s="6"/>
      <c r="C952" s="7"/>
      <c r="D952"/>
      <c r="E952"/>
      <c r="F952"/>
      <c r="G952"/>
      <c r="H952"/>
      <c r="I952"/>
      <c r="J952"/>
      <c r="K952"/>
      <c r="L952"/>
    </row>
    <row r="953" spans="2:12" s="2" customFormat="1" x14ac:dyDescent="0.25">
      <c r="B953" s="6"/>
      <c r="C953" s="7"/>
      <c r="D953"/>
      <c r="E953"/>
      <c r="F953"/>
      <c r="G953"/>
      <c r="H953"/>
      <c r="I953"/>
      <c r="J953"/>
      <c r="K953"/>
      <c r="L953"/>
    </row>
    <row r="954" spans="2:12" s="2" customFormat="1" x14ac:dyDescent="0.25">
      <c r="B954" s="6"/>
      <c r="C954" s="7"/>
      <c r="D954"/>
      <c r="E954"/>
      <c r="F954"/>
      <c r="G954"/>
      <c r="H954"/>
      <c r="I954"/>
      <c r="J954"/>
      <c r="K954"/>
      <c r="L954"/>
    </row>
    <row r="955" spans="2:12" s="2" customFormat="1" x14ac:dyDescent="0.25">
      <c r="B955" s="6"/>
      <c r="C955" s="7"/>
      <c r="D955"/>
      <c r="E955"/>
      <c r="F955"/>
      <c r="G955"/>
      <c r="H955"/>
      <c r="I955"/>
      <c r="J955"/>
      <c r="K955"/>
      <c r="L955"/>
    </row>
    <row r="956" spans="2:12" s="2" customFormat="1" x14ac:dyDescent="0.25">
      <c r="B956" s="6"/>
      <c r="C956" s="7"/>
      <c r="D956"/>
      <c r="E956"/>
      <c r="F956"/>
      <c r="G956"/>
      <c r="H956"/>
      <c r="I956"/>
      <c r="J956"/>
      <c r="K956"/>
      <c r="L956"/>
    </row>
    <row r="957" spans="2:12" s="2" customFormat="1" x14ac:dyDescent="0.25">
      <c r="B957" s="6"/>
      <c r="C957" s="7"/>
      <c r="D957"/>
      <c r="E957"/>
      <c r="F957"/>
      <c r="G957"/>
      <c r="H957"/>
      <c r="I957"/>
      <c r="J957"/>
      <c r="K957"/>
      <c r="L957"/>
    </row>
    <row r="958" spans="2:12" s="2" customFormat="1" x14ac:dyDescent="0.25">
      <c r="B958" s="6"/>
      <c r="C958" s="7"/>
      <c r="D958"/>
      <c r="E958"/>
      <c r="F958"/>
      <c r="G958"/>
      <c r="H958"/>
      <c r="I958"/>
      <c r="J958"/>
      <c r="K958"/>
      <c r="L958"/>
    </row>
    <row r="959" spans="2:12" s="2" customFormat="1" x14ac:dyDescent="0.25">
      <c r="B959" s="6"/>
      <c r="C959" s="7"/>
      <c r="D959"/>
      <c r="E959"/>
      <c r="F959"/>
      <c r="G959"/>
      <c r="H959"/>
      <c r="I959"/>
      <c r="J959"/>
      <c r="K959"/>
      <c r="L959"/>
    </row>
    <row r="960" spans="2:12" s="2" customFormat="1" x14ac:dyDescent="0.25">
      <c r="B960" s="6"/>
      <c r="C960" s="7"/>
      <c r="D960"/>
      <c r="E960"/>
      <c r="F960"/>
      <c r="G960"/>
      <c r="H960"/>
      <c r="I960"/>
      <c r="J960"/>
      <c r="K960"/>
      <c r="L960"/>
    </row>
    <row r="961" spans="2:12" s="2" customFormat="1" x14ac:dyDescent="0.25">
      <c r="B961" s="6"/>
      <c r="C961" s="7"/>
      <c r="D961"/>
      <c r="E961"/>
      <c r="F961"/>
      <c r="G961"/>
      <c r="H961"/>
      <c r="I961"/>
      <c r="J961"/>
      <c r="K961"/>
      <c r="L961"/>
    </row>
    <row r="962" spans="2:12" s="2" customFormat="1" x14ac:dyDescent="0.25">
      <c r="B962" s="6"/>
      <c r="C962" s="7"/>
      <c r="D962"/>
      <c r="E962"/>
      <c r="F962"/>
      <c r="G962"/>
      <c r="H962"/>
      <c r="I962"/>
      <c r="J962"/>
      <c r="K962"/>
      <c r="L962"/>
    </row>
    <row r="963" spans="2:12" s="2" customFormat="1" x14ac:dyDescent="0.25">
      <c r="B963" s="6"/>
      <c r="C963" s="7"/>
      <c r="D963"/>
      <c r="E963"/>
      <c r="F963"/>
      <c r="G963"/>
      <c r="H963"/>
      <c r="I963"/>
      <c r="J963"/>
      <c r="K963"/>
      <c r="L963"/>
    </row>
    <row r="964" spans="2:12" s="2" customFormat="1" x14ac:dyDescent="0.25">
      <c r="B964" s="6"/>
      <c r="C964" s="7"/>
      <c r="D964"/>
      <c r="E964"/>
      <c r="F964"/>
      <c r="G964"/>
      <c r="H964"/>
      <c r="I964"/>
      <c r="J964"/>
      <c r="K964"/>
      <c r="L964"/>
    </row>
    <row r="965" spans="2:12" s="2" customFormat="1" x14ac:dyDescent="0.25">
      <c r="B965" s="6"/>
      <c r="C965" s="7"/>
      <c r="D965"/>
      <c r="E965"/>
      <c r="F965"/>
      <c r="G965"/>
      <c r="H965"/>
      <c r="I965"/>
      <c r="J965"/>
      <c r="K965"/>
      <c r="L965"/>
    </row>
    <row r="966" spans="2:12" s="2" customFormat="1" x14ac:dyDescent="0.25">
      <c r="B966" s="6"/>
      <c r="C966" s="7"/>
      <c r="D966"/>
      <c r="E966"/>
      <c r="F966"/>
      <c r="G966"/>
      <c r="H966"/>
      <c r="I966"/>
      <c r="J966"/>
      <c r="K966"/>
      <c r="L966"/>
    </row>
    <row r="967" spans="2:12" s="2" customFormat="1" x14ac:dyDescent="0.25">
      <c r="B967" s="6"/>
      <c r="C967" s="7"/>
      <c r="D967"/>
      <c r="E967"/>
      <c r="F967"/>
      <c r="G967"/>
      <c r="H967"/>
      <c r="I967"/>
      <c r="J967"/>
      <c r="K967"/>
      <c r="L967"/>
    </row>
    <row r="968" spans="2:12" s="2" customFormat="1" x14ac:dyDescent="0.25">
      <c r="B968" s="6"/>
      <c r="C968" s="7"/>
      <c r="D968"/>
      <c r="E968"/>
      <c r="F968"/>
      <c r="G968"/>
      <c r="H968"/>
      <c r="I968"/>
      <c r="J968"/>
      <c r="K968"/>
      <c r="L968"/>
    </row>
    <row r="969" spans="2:12" s="2" customFormat="1" x14ac:dyDescent="0.25">
      <c r="B969" s="6"/>
      <c r="C969" s="7"/>
      <c r="D969"/>
      <c r="E969"/>
      <c r="F969"/>
      <c r="G969"/>
      <c r="H969"/>
      <c r="I969"/>
      <c r="J969"/>
      <c r="K969"/>
      <c r="L969"/>
    </row>
    <row r="970" spans="2:12" s="2" customFormat="1" x14ac:dyDescent="0.25">
      <c r="B970" s="6"/>
      <c r="C970" s="7"/>
      <c r="D970"/>
      <c r="E970"/>
      <c r="F970"/>
      <c r="G970"/>
      <c r="H970"/>
      <c r="I970"/>
      <c r="J970"/>
      <c r="K970"/>
      <c r="L970"/>
    </row>
    <row r="971" spans="2:12" s="2" customFormat="1" x14ac:dyDescent="0.25">
      <c r="B971" s="6"/>
      <c r="C971" s="7"/>
      <c r="D971"/>
      <c r="E971"/>
      <c r="F971"/>
      <c r="G971"/>
      <c r="H971"/>
      <c r="I971"/>
      <c r="J971"/>
      <c r="K971"/>
      <c r="L971"/>
    </row>
    <row r="972" spans="2:12" s="2" customFormat="1" x14ac:dyDescent="0.25">
      <c r="B972" s="6"/>
      <c r="C972" s="7"/>
      <c r="D972"/>
      <c r="E972"/>
      <c r="F972"/>
      <c r="G972"/>
      <c r="H972"/>
      <c r="I972"/>
      <c r="J972"/>
      <c r="K972"/>
      <c r="L972"/>
    </row>
    <row r="973" spans="2:12" s="2" customFormat="1" x14ac:dyDescent="0.25">
      <c r="B973" s="6"/>
      <c r="C973" s="7"/>
      <c r="D973"/>
      <c r="E973"/>
      <c r="F973"/>
      <c r="G973"/>
      <c r="H973"/>
      <c r="I973"/>
      <c r="J973"/>
      <c r="K973"/>
      <c r="L973"/>
    </row>
    <row r="974" spans="2:12" s="2" customFormat="1" x14ac:dyDescent="0.25">
      <c r="B974" s="6"/>
      <c r="C974" s="7"/>
      <c r="D974"/>
      <c r="E974"/>
      <c r="F974"/>
      <c r="G974"/>
      <c r="H974"/>
      <c r="I974"/>
      <c r="J974"/>
      <c r="K974"/>
      <c r="L974"/>
    </row>
    <row r="975" spans="2:12" s="2" customFormat="1" x14ac:dyDescent="0.25">
      <c r="B975" s="6"/>
      <c r="C975" s="7"/>
      <c r="D975"/>
      <c r="E975"/>
      <c r="F975"/>
      <c r="G975"/>
      <c r="H975"/>
      <c r="I975"/>
      <c r="J975"/>
      <c r="K975"/>
      <c r="L975"/>
    </row>
    <row r="976" spans="2:12" s="2" customFormat="1" x14ac:dyDescent="0.25">
      <c r="B976" s="6"/>
      <c r="C976" s="7"/>
      <c r="D976"/>
      <c r="E976"/>
      <c r="F976"/>
      <c r="G976"/>
      <c r="H976"/>
      <c r="I976"/>
      <c r="J976"/>
      <c r="K976"/>
      <c r="L976"/>
    </row>
    <row r="977" spans="2:12" s="2" customFormat="1" x14ac:dyDescent="0.25">
      <c r="B977" s="6"/>
      <c r="C977" s="7"/>
      <c r="D977"/>
      <c r="E977"/>
      <c r="F977"/>
      <c r="G977"/>
      <c r="H977"/>
      <c r="I977"/>
      <c r="J977"/>
      <c r="K977"/>
      <c r="L977"/>
    </row>
    <row r="978" spans="2:12" s="2" customFormat="1" x14ac:dyDescent="0.25">
      <c r="B978" s="6"/>
      <c r="C978" s="7"/>
      <c r="D978"/>
      <c r="E978"/>
      <c r="F978"/>
      <c r="G978"/>
      <c r="H978"/>
      <c r="I978"/>
      <c r="J978"/>
      <c r="K978"/>
      <c r="L978"/>
    </row>
    <row r="979" spans="2:12" s="2" customFormat="1" x14ac:dyDescent="0.25">
      <c r="B979" s="6"/>
      <c r="C979" s="7"/>
      <c r="D979"/>
      <c r="E979"/>
      <c r="F979"/>
      <c r="G979"/>
      <c r="H979"/>
      <c r="I979"/>
      <c r="J979"/>
      <c r="K979"/>
      <c r="L979"/>
    </row>
    <row r="980" spans="2:12" s="2" customFormat="1" x14ac:dyDescent="0.25">
      <c r="B980" s="6"/>
      <c r="C980" s="7"/>
      <c r="D980"/>
      <c r="E980"/>
      <c r="F980"/>
      <c r="G980"/>
      <c r="H980"/>
      <c r="I980"/>
      <c r="J980"/>
      <c r="K980"/>
      <c r="L980"/>
    </row>
    <row r="981" spans="2:12" s="2" customFormat="1" x14ac:dyDescent="0.25">
      <c r="B981" s="6"/>
      <c r="C981" s="7"/>
      <c r="D981"/>
      <c r="E981"/>
      <c r="F981"/>
      <c r="G981"/>
      <c r="H981"/>
      <c r="I981"/>
      <c r="J981"/>
      <c r="K981"/>
      <c r="L981"/>
    </row>
    <row r="982" spans="2:12" s="2" customFormat="1" x14ac:dyDescent="0.25">
      <c r="B982" s="6"/>
      <c r="C982" s="7"/>
      <c r="D982"/>
      <c r="E982"/>
      <c r="F982"/>
      <c r="G982"/>
      <c r="H982"/>
      <c r="I982"/>
      <c r="J982"/>
      <c r="K982"/>
      <c r="L982"/>
    </row>
    <row r="983" spans="2:12" s="2" customFormat="1" x14ac:dyDescent="0.25">
      <c r="B983" s="6"/>
      <c r="C983" s="7"/>
      <c r="D983"/>
      <c r="E983"/>
      <c r="F983"/>
      <c r="G983"/>
      <c r="H983"/>
      <c r="I983"/>
      <c r="J983"/>
      <c r="K983"/>
      <c r="L983"/>
    </row>
    <row r="984" spans="2:12" s="2" customFormat="1" x14ac:dyDescent="0.25">
      <c r="B984" s="6"/>
      <c r="C984" s="7"/>
      <c r="D984"/>
      <c r="E984"/>
      <c r="F984"/>
      <c r="G984"/>
      <c r="H984"/>
      <c r="I984"/>
      <c r="J984"/>
      <c r="K984"/>
      <c r="L984"/>
    </row>
    <row r="985" spans="2:12" s="2" customFormat="1" x14ac:dyDescent="0.25">
      <c r="B985" s="6"/>
      <c r="C985" s="7"/>
      <c r="D985"/>
      <c r="E985"/>
      <c r="F985"/>
      <c r="G985"/>
      <c r="H985"/>
      <c r="I985"/>
      <c r="J985"/>
      <c r="K985"/>
      <c r="L985"/>
    </row>
    <row r="986" spans="2:12" s="2" customFormat="1" x14ac:dyDescent="0.25">
      <c r="B986" s="6"/>
      <c r="C986" s="7"/>
      <c r="D986"/>
      <c r="E986"/>
      <c r="F986"/>
      <c r="G986"/>
      <c r="H986"/>
      <c r="I986"/>
      <c r="J986"/>
      <c r="K986"/>
      <c r="L986"/>
    </row>
    <row r="987" spans="2:12" s="2" customFormat="1" x14ac:dyDescent="0.25">
      <c r="B987" s="6"/>
      <c r="C987" s="7"/>
      <c r="D987"/>
      <c r="E987"/>
      <c r="F987"/>
      <c r="G987"/>
      <c r="H987"/>
      <c r="I987"/>
      <c r="J987"/>
      <c r="K987"/>
      <c r="L987"/>
    </row>
    <row r="988" spans="2:12" s="2" customFormat="1" x14ac:dyDescent="0.25">
      <c r="B988" s="6"/>
      <c r="C988" s="7"/>
      <c r="D988"/>
      <c r="E988"/>
      <c r="F988"/>
      <c r="G988"/>
      <c r="H988"/>
      <c r="I988"/>
      <c r="J988"/>
      <c r="K988"/>
      <c r="L988"/>
    </row>
    <row r="989" spans="2:12" s="2" customFormat="1" x14ac:dyDescent="0.25">
      <c r="B989" s="6"/>
      <c r="C989" s="7"/>
      <c r="D989"/>
      <c r="E989"/>
      <c r="F989"/>
      <c r="G989"/>
      <c r="H989"/>
      <c r="I989"/>
      <c r="J989"/>
      <c r="K989"/>
      <c r="L989"/>
    </row>
    <row r="990" spans="2:12" s="2" customFormat="1" x14ac:dyDescent="0.25">
      <c r="B990" s="6"/>
      <c r="C990" s="7"/>
      <c r="D990"/>
      <c r="E990"/>
      <c r="F990"/>
      <c r="G990"/>
      <c r="H990"/>
      <c r="I990"/>
      <c r="J990"/>
      <c r="K990"/>
      <c r="L990"/>
    </row>
    <row r="991" spans="2:12" s="2" customFormat="1" x14ac:dyDescent="0.25">
      <c r="B991" s="6"/>
      <c r="C991" s="7"/>
      <c r="D991"/>
      <c r="E991"/>
      <c r="F991"/>
      <c r="G991"/>
      <c r="H991"/>
      <c r="I991"/>
      <c r="J991"/>
      <c r="K991"/>
      <c r="L991"/>
    </row>
    <row r="992" spans="2:12" s="2" customFormat="1" x14ac:dyDescent="0.25">
      <c r="B992" s="6"/>
      <c r="C992" s="7"/>
      <c r="D992"/>
      <c r="E992"/>
      <c r="F992"/>
      <c r="G992"/>
      <c r="H992"/>
      <c r="I992"/>
      <c r="J992"/>
      <c r="K992"/>
      <c r="L992"/>
    </row>
    <row r="993" spans="2:12" s="2" customFormat="1" x14ac:dyDescent="0.25">
      <c r="B993" s="6"/>
      <c r="C993" s="7"/>
      <c r="D993"/>
      <c r="E993"/>
      <c r="F993"/>
      <c r="G993"/>
      <c r="H993"/>
      <c r="I993"/>
      <c r="J993"/>
      <c r="K993"/>
      <c r="L993"/>
    </row>
    <row r="994" spans="2:12" s="2" customFormat="1" x14ac:dyDescent="0.25">
      <c r="B994" s="6"/>
      <c r="C994" s="7"/>
      <c r="D994"/>
      <c r="E994"/>
      <c r="F994"/>
      <c r="G994"/>
      <c r="H994"/>
      <c r="I994"/>
      <c r="J994"/>
      <c r="K994"/>
      <c r="L994"/>
    </row>
    <row r="995" spans="2:12" s="2" customFormat="1" x14ac:dyDescent="0.25">
      <c r="B995" s="6"/>
      <c r="C995" s="7"/>
      <c r="D995"/>
      <c r="E995"/>
      <c r="F995"/>
      <c r="G995"/>
      <c r="H995"/>
      <c r="I995"/>
      <c r="J995"/>
      <c r="K995"/>
      <c r="L995"/>
    </row>
    <row r="996" spans="2:12" s="2" customFormat="1" x14ac:dyDescent="0.25">
      <c r="B996" s="6"/>
      <c r="C996" s="7"/>
      <c r="D996"/>
      <c r="E996"/>
      <c r="F996"/>
      <c r="G996"/>
      <c r="H996"/>
      <c r="I996"/>
      <c r="J996"/>
      <c r="K996"/>
      <c r="L996"/>
    </row>
    <row r="997" spans="2:12" s="2" customFormat="1" x14ac:dyDescent="0.25">
      <c r="B997" s="6"/>
      <c r="C997" s="7"/>
      <c r="D997"/>
      <c r="E997"/>
      <c r="F997"/>
      <c r="G997"/>
      <c r="H997"/>
      <c r="I997"/>
      <c r="J997"/>
      <c r="K997"/>
      <c r="L997"/>
    </row>
    <row r="998" spans="2:12" s="2" customFormat="1" x14ac:dyDescent="0.25">
      <c r="B998" s="6"/>
      <c r="C998" s="7"/>
      <c r="D998"/>
      <c r="E998"/>
      <c r="F998"/>
      <c r="G998"/>
      <c r="H998"/>
      <c r="I998"/>
      <c r="J998"/>
      <c r="K998"/>
      <c r="L998"/>
    </row>
    <row r="999" spans="2:12" s="2" customFormat="1" x14ac:dyDescent="0.25">
      <c r="B999" s="6"/>
      <c r="C999" s="7"/>
      <c r="D999"/>
      <c r="E999"/>
      <c r="F999"/>
      <c r="G999"/>
      <c r="H999"/>
      <c r="I999"/>
      <c r="J999"/>
      <c r="K999"/>
      <c r="L999"/>
    </row>
    <row r="1000" spans="2:12" s="2" customFormat="1" x14ac:dyDescent="0.25">
      <c r="B1000" s="6"/>
      <c r="C1000" s="7"/>
      <c r="D1000"/>
      <c r="E1000"/>
      <c r="F1000"/>
      <c r="G1000"/>
      <c r="H1000"/>
      <c r="I1000"/>
      <c r="J1000"/>
      <c r="K1000"/>
      <c r="L1000"/>
    </row>
    <row r="1001" spans="2:12" s="2" customFormat="1" x14ac:dyDescent="0.25">
      <c r="B1001" s="6"/>
      <c r="C1001" s="7"/>
      <c r="D1001"/>
      <c r="E1001"/>
      <c r="F1001"/>
      <c r="G1001"/>
      <c r="H1001"/>
      <c r="I1001"/>
      <c r="J1001"/>
      <c r="K1001"/>
      <c r="L1001"/>
    </row>
    <row r="1002" spans="2:12" s="2" customFormat="1" x14ac:dyDescent="0.25">
      <c r="B1002" s="6"/>
      <c r="C1002" s="7"/>
      <c r="D1002"/>
      <c r="E1002"/>
      <c r="F1002"/>
      <c r="G1002"/>
      <c r="H1002"/>
      <c r="I1002"/>
      <c r="J1002"/>
      <c r="K1002"/>
      <c r="L1002"/>
    </row>
    <row r="1003" spans="2:12" s="2" customFormat="1" x14ac:dyDescent="0.25">
      <c r="B1003" s="6"/>
      <c r="C1003" s="7"/>
      <c r="D1003"/>
      <c r="E1003"/>
      <c r="F1003"/>
      <c r="G1003"/>
      <c r="H1003"/>
      <c r="I1003"/>
      <c r="J1003"/>
      <c r="K1003"/>
      <c r="L1003"/>
    </row>
    <row r="1004" spans="2:12" s="2" customFormat="1" x14ac:dyDescent="0.25">
      <c r="B1004" s="6"/>
      <c r="C1004" s="7"/>
      <c r="D1004"/>
      <c r="E1004"/>
      <c r="F1004"/>
      <c r="G1004"/>
      <c r="H1004"/>
      <c r="I1004"/>
      <c r="J1004"/>
      <c r="K1004"/>
      <c r="L1004"/>
    </row>
    <row r="1005" spans="2:12" s="2" customFormat="1" x14ac:dyDescent="0.25">
      <c r="B1005" s="6"/>
      <c r="C1005" s="7"/>
      <c r="D1005"/>
      <c r="E1005"/>
      <c r="F1005"/>
      <c r="G1005"/>
      <c r="H1005"/>
      <c r="I1005"/>
      <c r="J1005"/>
      <c r="K1005"/>
      <c r="L1005"/>
    </row>
    <row r="1006" spans="2:12" s="2" customFormat="1" x14ac:dyDescent="0.25">
      <c r="B1006" s="6"/>
      <c r="C1006" s="7"/>
      <c r="D1006"/>
      <c r="E1006"/>
      <c r="F1006"/>
      <c r="G1006"/>
      <c r="H1006"/>
      <c r="I1006"/>
      <c r="J1006"/>
      <c r="K1006"/>
      <c r="L1006"/>
    </row>
    <row r="1007" spans="2:12" s="2" customFormat="1" x14ac:dyDescent="0.25">
      <c r="B1007" s="6"/>
      <c r="C1007" s="7"/>
      <c r="D1007"/>
      <c r="E1007"/>
      <c r="F1007"/>
      <c r="G1007"/>
      <c r="H1007"/>
      <c r="I1007"/>
      <c r="J1007"/>
      <c r="K1007"/>
      <c r="L1007"/>
    </row>
    <row r="1008" spans="2:12" s="2" customFormat="1" x14ac:dyDescent="0.25">
      <c r="B1008" s="6"/>
      <c r="C1008" s="7"/>
      <c r="D1008"/>
      <c r="E1008"/>
      <c r="F1008"/>
      <c r="G1008"/>
      <c r="H1008"/>
      <c r="I1008"/>
      <c r="J1008"/>
      <c r="K1008"/>
      <c r="L1008"/>
    </row>
    <row r="1009" spans="2:12" s="2" customFormat="1" x14ac:dyDescent="0.25">
      <c r="B1009" s="6"/>
      <c r="C1009" s="7"/>
      <c r="D1009"/>
      <c r="E1009"/>
      <c r="F1009"/>
      <c r="G1009"/>
      <c r="H1009"/>
      <c r="I1009"/>
      <c r="J1009"/>
      <c r="K1009"/>
      <c r="L1009"/>
    </row>
    <row r="1010" spans="2:12" s="2" customFormat="1" x14ac:dyDescent="0.25">
      <c r="B1010" s="6"/>
      <c r="C1010" s="7"/>
      <c r="D1010"/>
      <c r="E1010"/>
      <c r="F1010"/>
      <c r="G1010"/>
      <c r="H1010"/>
      <c r="I1010"/>
      <c r="J1010"/>
      <c r="K1010"/>
      <c r="L1010"/>
    </row>
    <row r="1011" spans="2:12" s="2" customFormat="1" x14ac:dyDescent="0.25">
      <c r="B1011" s="6"/>
      <c r="C1011" s="7"/>
      <c r="D1011"/>
      <c r="E1011"/>
      <c r="F1011"/>
      <c r="G1011"/>
      <c r="H1011"/>
      <c r="I1011"/>
      <c r="J1011"/>
      <c r="K1011"/>
      <c r="L1011"/>
    </row>
    <row r="1012" spans="2:12" s="2" customFormat="1" x14ac:dyDescent="0.25">
      <c r="B1012" s="6"/>
      <c r="C1012" s="7"/>
      <c r="D1012"/>
      <c r="E1012"/>
      <c r="F1012"/>
      <c r="G1012"/>
      <c r="H1012"/>
      <c r="I1012"/>
      <c r="J1012"/>
      <c r="K1012"/>
      <c r="L1012"/>
    </row>
    <row r="1013" spans="2:12" s="2" customFormat="1" x14ac:dyDescent="0.25">
      <c r="B1013" s="6"/>
      <c r="C1013" s="7"/>
      <c r="D1013"/>
      <c r="E1013"/>
      <c r="F1013"/>
      <c r="G1013"/>
      <c r="H1013"/>
      <c r="I1013"/>
      <c r="J1013"/>
      <c r="K1013"/>
      <c r="L1013"/>
    </row>
    <row r="1014" spans="2:12" s="2" customFormat="1" x14ac:dyDescent="0.25">
      <c r="B1014" s="6"/>
      <c r="C1014" s="7"/>
      <c r="D1014"/>
      <c r="E1014"/>
      <c r="F1014"/>
      <c r="G1014"/>
      <c r="H1014"/>
      <c r="I1014"/>
      <c r="J1014"/>
      <c r="K1014"/>
      <c r="L1014"/>
    </row>
    <row r="1015" spans="2:12" s="2" customFormat="1" x14ac:dyDescent="0.25">
      <c r="B1015" s="6"/>
      <c r="C1015" s="7"/>
      <c r="D1015"/>
      <c r="E1015"/>
      <c r="F1015"/>
      <c r="G1015"/>
      <c r="H1015"/>
      <c r="I1015"/>
      <c r="J1015"/>
      <c r="K1015"/>
      <c r="L1015"/>
    </row>
    <row r="1016" spans="2:12" s="2" customFormat="1" x14ac:dyDescent="0.25">
      <c r="B1016" s="6"/>
      <c r="C1016" s="7"/>
      <c r="D1016"/>
      <c r="E1016"/>
      <c r="F1016"/>
      <c r="G1016"/>
      <c r="H1016"/>
      <c r="I1016"/>
      <c r="J1016"/>
      <c r="K1016"/>
      <c r="L1016"/>
    </row>
    <row r="1017" spans="2:12" s="2" customFormat="1" x14ac:dyDescent="0.25">
      <c r="B1017" s="6"/>
      <c r="C1017" s="7"/>
      <c r="D1017"/>
      <c r="E1017"/>
      <c r="F1017"/>
      <c r="G1017"/>
      <c r="H1017"/>
      <c r="I1017"/>
      <c r="J1017"/>
      <c r="K1017"/>
      <c r="L1017"/>
    </row>
    <row r="1018" spans="2:12" s="2" customFormat="1" x14ac:dyDescent="0.25">
      <c r="B1018" s="6"/>
      <c r="C1018" s="7"/>
      <c r="D1018"/>
      <c r="E1018"/>
      <c r="F1018"/>
      <c r="G1018"/>
      <c r="H1018"/>
      <c r="I1018"/>
      <c r="J1018"/>
      <c r="K1018"/>
      <c r="L1018"/>
    </row>
    <row r="1019" spans="2:12" s="2" customFormat="1" x14ac:dyDescent="0.25">
      <c r="B1019" s="6"/>
      <c r="C1019" s="7"/>
      <c r="D1019"/>
      <c r="E1019"/>
      <c r="F1019"/>
      <c r="G1019"/>
      <c r="H1019"/>
      <c r="I1019"/>
      <c r="J1019"/>
      <c r="K1019"/>
      <c r="L1019"/>
    </row>
    <row r="1020" spans="2:12" s="2" customFormat="1" x14ac:dyDescent="0.25">
      <c r="B1020" s="6"/>
      <c r="C1020" s="7"/>
      <c r="D1020"/>
      <c r="E1020"/>
      <c r="F1020"/>
      <c r="G1020"/>
      <c r="H1020"/>
      <c r="I1020"/>
      <c r="J1020"/>
      <c r="K1020"/>
      <c r="L1020"/>
    </row>
    <row r="1021" spans="2:12" s="2" customFormat="1" x14ac:dyDescent="0.25">
      <c r="B1021" s="6"/>
      <c r="C1021" s="7"/>
      <c r="D1021"/>
      <c r="E1021"/>
      <c r="F1021"/>
      <c r="G1021"/>
      <c r="H1021"/>
      <c r="I1021"/>
      <c r="J1021"/>
      <c r="K1021"/>
      <c r="L1021"/>
    </row>
    <row r="1022" spans="2:12" s="2" customFormat="1" x14ac:dyDescent="0.25">
      <c r="B1022" s="6"/>
      <c r="C1022" s="7"/>
      <c r="D1022"/>
      <c r="E1022"/>
      <c r="F1022"/>
      <c r="G1022"/>
      <c r="H1022"/>
      <c r="I1022"/>
      <c r="J1022"/>
      <c r="K1022"/>
      <c r="L1022"/>
    </row>
    <row r="1023" spans="2:12" s="2" customFormat="1" x14ac:dyDescent="0.25">
      <c r="B1023" s="6"/>
      <c r="C1023" s="7"/>
      <c r="D1023"/>
      <c r="E1023"/>
      <c r="F1023"/>
      <c r="G1023"/>
      <c r="H1023"/>
      <c r="I1023"/>
      <c r="J1023"/>
      <c r="K1023"/>
      <c r="L1023"/>
    </row>
    <row r="1024" spans="2:12" s="2" customFormat="1" x14ac:dyDescent="0.25">
      <c r="B1024" s="6"/>
      <c r="C1024" s="7"/>
      <c r="D1024"/>
      <c r="E1024"/>
      <c r="F1024"/>
      <c r="G1024"/>
      <c r="H1024"/>
      <c r="I1024"/>
      <c r="J1024"/>
      <c r="K1024"/>
      <c r="L1024"/>
    </row>
    <row r="1025" spans="2:12" s="2" customFormat="1" x14ac:dyDescent="0.25">
      <c r="B1025" s="6"/>
      <c r="C1025" s="7"/>
      <c r="D1025"/>
      <c r="E1025"/>
      <c r="F1025"/>
      <c r="G1025"/>
      <c r="H1025"/>
      <c r="I1025"/>
      <c r="J1025"/>
      <c r="K1025"/>
      <c r="L1025"/>
    </row>
    <row r="1026" spans="2:12" s="2" customFormat="1" x14ac:dyDescent="0.25">
      <c r="B1026" s="6"/>
      <c r="C1026" s="7"/>
      <c r="D1026"/>
      <c r="E1026"/>
      <c r="F1026"/>
      <c r="G1026"/>
      <c r="H1026"/>
      <c r="I1026"/>
      <c r="J1026"/>
      <c r="K1026"/>
      <c r="L1026"/>
    </row>
    <row r="1027" spans="2:12" s="2" customFormat="1" x14ac:dyDescent="0.25">
      <c r="B1027" s="6"/>
      <c r="C1027" s="7"/>
      <c r="D1027"/>
      <c r="E1027"/>
      <c r="F1027"/>
      <c r="G1027"/>
      <c r="H1027"/>
      <c r="I1027"/>
      <c r="J1027"/>
      <c r="K1027"/>
      <c r="L1027"/>
    </row>
    <row r="1028" spans="2:12" s="2" customFormat="1" x14ac:dyDescent="0.25">
      <c r="B1028" s="6"/>
      <c r="C1028" s="7"/>
      <c r="D1028"/>
      <c r="E1028"/>
      <c r="F1028"/>
      <c r="G1028"/>
      <c r="H1028"/>
      <c r="I1028"/>
      <c r="J1028"/>
      <c r="K1028"/>
      <c r="L1028"/>
    </row>
    <row r="1029" spans="2:12" s="2" customFormat="1" x14ac:dyDescent="0.25">
      <c r="B1029" s="6"/>
      <c r="C1029" s="7"/>
      <c r="D1029"/>
      <c r="E1029"/>
      <c r="F1029"/>
      <c r="G1029"/>
      <c r="H1029"/>
      <c r="I1029"/>
      <c r="J1029"/>
      <c r="K1029"/>
      <c r="L1029"/>
    </row>
    <row r="1030" spans="2:12" s="2" customFormat="1" x14ac:dyDescent="0.25">
      <c r="B1030" s="6"/>
      <c r="C1030" s="7"/>
      <c r="D1030"/>
      <c r="E1030"/>
      <c r="F1030"/>
      <c r="G1030"/>
      <c r="H1030"/>
      <c r="I1030"/>
      <c r="J1030"/>
      <c r="K1030"/>
      <c r="L1030"/>
    </row>
    <row r="1031" spans="2:12" s="2" customFormat="1" x14ac:dyDescent="0.25">
      <c r="B1031" s="6"/>
      <c r="C1031" s="7"/>
      <c r="D1031"/>
      <c r="E1031"/>
      <c r="F1031"/>
      <c r="G1031"/>
      <c r="H1031"/>
      <c r="I1031"/>
      <c r="J1031"/>
      <c r="K1031"/>
      <c r="L1031"/>
    </row>
    <row r="1032" spans="2:12" s="2" customFormat="1" x14ac:dyDescent="0.25">
      <c r="B1032" s="6"/>
      <c r="C1032" s="7"/>
      <c r="D1032"/>
      <c r="E1032"/>
      <c r="F1032"/>
      <c r="G1032"/>
      <c r="H1032"/>
      <c r="I1032"/>
      <c r="J1032"/>
      <c r="K1032"/>
      <c r="L1032"/>
    </row>
    <row r="1033" spans="2:12" s="2" customFormat="1" x14ac:dyDescent="0.25">
      <c r="B1033" s="6"/>
      <c r="C1033" s="7"/>
      <c r="D1033"/>
      <c r="E1033"/>
      <c r="F1033"/>
      <c r="G1033"/>
      <c r="H1033"/>
      <c r="I1033"/>
      <c r="J1033"/>
      <c r="K1033"/>
      <c r="L1033"/>
    </row>
    <row r="1034" spans="2:12" s="2" customFormat="1" x14ac:dyDescent="0.25">
      <c r="B1034" s="6"/>
      <c r="C1034" s="7"/>
      <c r="D1034"/>
      <c r="E1034"/>
      <c r="F1034"/>
      <c r="G1034"/>
      <c r="H1034"/>
      <c r="I1034"/>
      <c r="J1034"/>
      <c r="K1034"/>
      <c r="L1034"/>
    </row>
    <row r="1035" spans="2:12" s="2" customFormat="1" x14ac:dyDescent="0.25">
      <c r="B1035" s="6"/>
      <c r="C1035" s="7"/>
      <c r="D1035"/>
      <c r="E1035"/>
      <c r="F1035"/>
      <c r="G1035"/>
      <c r="H1035"/>
      <c r="I1035"/>
      <c r="J1035"/>
      <c r="K1035"/>
      <c r="L1035"/>
    </row>
    <row r="1036" spans="2:12" s="2" customFormat="1" x14ac:dyDescent="0.25">
      <c r="B1036" s="6"/>
      <c r="C1036" s="7"/>
      <c r="D1036"/>
      <c r="E1036"/>
      <c r="F1036"/>
      <c r="G1036"/>
      <c r="H1036"/>
      <c r="I1036"/>
      <c r="J1036"/>
      <c r="K1036"/>
      <c r="L1036"/>
    </row>
    <row r="1037" spans="2:12" s="2" customFormat="1" x14ac:dyDescent="0.25">
      <c r="B1037" s="6"/>
      <c r="C1037" s="7"/>
      <c r="D1037"/>
      <c r="E1037"/>
      <c r="F1037"/>
      <c r="G1037"/>
      <c r="H1037"/>
      <c r="I1037"/>
      <c r="J1037"/>
      <c r="K1037"/>
      <c r="L1037"/>
    </row>
    <row r="1038" spans="2:12" s="2" customFormat="1" x14ac:dyDescent="0.25">
      <c r="B1038" s="6"/>
      <c r="C1038" s="7"/>
      <c r="D1038"/>
      <c r="E1038"/>
      <c r="F1038"/>
      <c r="G1038"/>
      <c r="H1038"/>
      <c r="I1038"/>
      <c r="J1038"/>
      <c r="K1038"/>
      <c r="L1038"/>
    </row>
    <row r="1039" spans="2:12" s="2" customFormat="1" x14ac:dyDescent="0.25">
      <c r="B1039" s="6"/>
      <c r="C1039" s="7"/>
      <c r="D1039"/>
      <c r="E1039"/>
      <c r="F1039"/>
      <c r="G1039"/>
      <c r="H1039"/>
      <c r="I1039"/>
      <c r="J1039"/>
      <c r="K1039"/>
      <c r="L1039"/>
    </row>
    <row r="1040" spans="2:12" s="2" customFormat="1" x14ac:dyDescent="0.25">
      <c r="B1040" s="6"/>
      <c r="C1040" s="7"/>
      <c r="D1040"/>
      <c r="E1040"/>
      <c r="F1040"/>
      <c r="G1040"/>
      <c r="H1040"/>
      <c r="I1040"/>
      <c r="J1040"/>
      <c r="K1040"/>
      <c r="L1040"/>
    </row>
    <row r="1041" spans="2:12" s="2" customFormat="1" x14ac:dyDescent="0.25">
      <c r="B1041" s="6"/>
      <c r="C1041" s="7"/>
      <c r="D1041"/>
      <c r="E1041"/>
      <c r="F1041"/>
      <c r="G1041"/>
      <c r="H1041"/>
      <c r="I1041"/>
      <c r="J1041"/>
      <c r="K1041"/>
      <c r="L1041"/>
    </row>
    <row r="1042" spans="2:12" s="2" customFormat="1" x14ac:dyDescent="0.25">
      <c r="B1042" s="6"/>
      <c r="C1042" s="7"/>
      <c r="D1042"/>
      <c r="E1042"/>
      <c r="F1042"/>
      <c r="G1042"/>
      <c r="H1042"/>
      <c r="I1042"/>
      <c r="J1042"/>
      <c r="K1042"/>
      <c r="L1042"/>
    </row>
    <row r="1043" spans="2:12" s="2" customFormat="1" x14ac:dyDescent="0.25">
      <c r="B1043" s="6"/>
      <c r="C1043" s="7"/>
      <c r="D1043"/>
      <c r="E1043"/>
      <c r="F1043"/>
      <c r="G1043"/>
      <c r="H1043"/>
      <c r="I1043"/>
      <c r="J1043"/>
      <c r="K1043"/>
      <c r="L1043"/>
    </row>
    <row r="1044" spans="2:12" s="2" customFormat="1" x14ac:dyDescent="0.25">
      <c r="B1044" s="6"/>
      <c r="C1044" s="7"/>
      <c r="D1044"/>
      <c r="E1044"/>
      <c r="F1044"/>
      <c r="G1044"/>
      <c r="H1044"/>
      <c r="I1044"/>
      <c r="J1044"/>
      <c r="K1044"/>
      <c r="L1044"/>
    </row>
    <row r="1045" spans="2:12" s="2" customFormat="1" x14ac:dyDescent="0.25">
      <c r="B1045" s="6"/>
      <c r="C1045" s="7"/>
      <c r="D1045"/>
      <c r="E1045"/>
      <c r="F1045"/>
      <c r="G1045"/>
      <c r="H1045"/>
      <c r="I1045"/>
      <c r="J1045"/>
      <c r="K1045"/>
      <c r="L1045"/>
    </row>
    <row r="1046" spans="2:12" s="2" customFormat="1" x14ac:dyDescent="0.25">
      <c r="B1046" s="6"/>
      <c r="C1046" s="7"/>
      <c r="D1046"/>
      <c r="E1046"/>
      <c r="F1046"/>
      <c r="G1046"/>
      <c r="H1046"/>
      <c r="I1046"/>
      <c r="J1046"/>
      <c r="K1046"/>
      <c r="L1046"/>
    </row>
    <row r="1047" spans="2:12" s="2" customFormat="1" x14ac:dyDescent="0.25">
      <c r="B1047" s="6"/>
      <c r="C1047" s="7"/>
      <c r="D1047"/>
      <c r="E1047"/>
      <c r="F1047"/>
      <c r="G1047"/>
      <c r="H1047"/>
      <c r="I1047"/>
      <c r="J1047"/>
      <c r="K1047"/>
      <c r="L1047"/>
    </row>
    <row r="1048" spans="2:12" s="2" customFormat="1" x14ac:dyDescent="0.25">
      <c r="B1048" s="6"/>
      <c r="C1048" s="7"/>
      <c r="D1048"/>
      <c r="E1048"/>
      <c r="F1048"/>
      <c r="G1048"/>
      <c r="H1048"/>
      <c r="I1048"/>
      <c r="J1048"/>
      <c r="K1048"/>
      <c r="L1048"/>
    </row>
    <row r="1049" spans="2:12" s="2" customFormat="1" x14ac:dyDescent="0.25">
      <c r="B1049" s="6"/>
      <c r="C1049" s="7"/>
      <c r="D1049"/>
      <c r="E1049"/>
      <c r="F1049"/>
      <c r="G1049"/>
      <c r="H1049"/>
      <c r="I1049"/>
      <c r="J1049"/>
      <c r="K1049"/>
      <c r="L1049"/>
    </row>
    <row r="1050" spans="2:12" s="2" customFormat="1" x14ac:dyDescent="0.25">
      <c r="B1050" s="6"/>
      <c r="C1050" s="7"/>
      <c r="D1050"/>
      <c r="E1050"/>
      <c r="F1050"/>
      <c r="G1050"/>
      <c r="H1050"/>
      <c r="I1050"/>
      <c r="J1050"/>
      <c r="K1050"/>
      <c r="L1050"/>
    </row>
    <row r="1051" spans="2:12" s="2" customFormat="1" x14ac:dyDescent="0.25">
      <c r="B1051" s="6"/>
      <c r="C1051" s="7"/>
      <c r="D1051"/>
      <c r="E1051"/>
      <c r="F1051"/>
      <c r="G1051"/>
      <c r="H1051"/>
      <c r="I1051"/>
      <c r="J1051"/>
      <c r="K1051"/>
      <c r="L1051"/>
    </row>
    <row r="1052" spans="2:12" s="2" customFormat="1" x14ac:dyDescent="0.25">
      <c r="B1052" s="6"/>
      <c r="C1052" s="7"/>
      <c r="D1052"/>
      <c r="E1052"/>
      <c r="F1052"/>
      <c r="G1052"/>
      <c r="H1052"/>
      <c r="I1052"/>
      <c r="J1052"/>
      <c r="K1052"/>
      <c r="L1052"/>
    </row>
    <row r="1053" spans="2:12" s="2" customFormat="1" x14ac:dyDescent="0.25">
      <c r="B1053" s="6"/>
      <c r="C1053" s="7"/>
      <c r="D1053"/>
      <c r="E1053"/>
      <c r="F1053"/>
      <c r="G1053"/>
      <c r="H1053"/>
      <c r="I1053"/>
      <c r="J1053"/>
      <c r="K1053"/>
      <c r="L1053"/>
    </row>
    <row r="1054" spans="2:12" s="2" customFormat="1" x14ac:dyDescent="0.25">
      <c r="B1054" s="6"/>
      <c r="C1054" s="7"/>
      <c r="D1054"/>
      <c r="E1054"/>
      <c r="F1054"/>
      <c r="G1054"/>
      <c r="H1054"/>
      <c r="I1054"/>
      <c r="J1054"/>
      <c r="K1054"/>
      <c r="L1054"/>
    </row>
    <row r="1055" spans="2:12" s="2" customFormat="1" x14ac:dyDescent="0.25">
      <c r="B1055" s="6"/>
      <c r="C1055" s="7"/>
      <c r="D1055"/>
      <c r="E1055"/>
      <c r="F1055"/>
      <c r="G1055"/>
      <c r="H1055"/>
      <c r="I1055"/>
      <c r="J1055"/>
      <c r="K1055"/>
      <c r="L1055"/>
    </row>
    <row r="1056" spans="2:12" s="2" customFormat="1" x14ac:dyDescent="0.25">
      <c r="B1056" s="6"/>
      <c r="C1056" s="7"/>
      <c r="D1056"/>
      <c r="E1056"/>
      <c r="F1056"/>
      <c r="G1056"/>
      <c r="H1056"/>
      <c r="I1056"/>
      <c r="J1056"/>
      <c r="K1056"/>
      <c r="L1056"/>
    </row>
    <row r="1057" spans="2:12" s="2" customFormat="1" x14ac:dyDescent="0.25">
      <c r="B1057" s="6"/>
      <c r="C1057" s="7"/>
      <c r="D1057"/>
      <c r="E1057"/>
      <c r="F1057"/>
      <c r="G1057"/>
      <c r="H1057"/>
      <c r="I1057"/>
      <c r="J1057"/>
      <c r="K1057"/>
      <c r="L1057"/>
    </row>
    <row r="1058" spans="2:12" s="2" customFormat="1" x14ac:dyDescent="0.25">
      <c r="B1058" s="6"/>
      <c r="C1058" s="7"/>
      <c r="D1058"/>
      <c r="E1058"/>
      <c r="F1058"/>
      <c r="G1058"/>
      <c r="H1058"/>
      <c r="I1058"/>
      <c r="J1058"/>
      <c r="K1058"/>
      <c r="L1058"/>
    </row>
    <row r="1059" spans="2:12" s="2" customFormat="1" x14ac:dyDescent="0.25">
      <c r="B1059" s="6"/>
      <c r="C1059" s="7"/>
      <c r="D1059"/>
      <c r="E1059"/>
      <c r="F1059"/>
      <c r="G1059"/>
      <c r="H1059"/>
      <c r="I1059"/>
      <c r="J1059"/>
      <c r="K1059"/>
      <c r="L1059"/>
    </row>
    <row r="1060" spans="2:12" s="2" customFormat="1" x14ac:dyDescent="0.25">
      <c r="B1060" s="6"/>
      <c r="C1060" s="7"/>
      <c r="D1060"/>
      <c r="E1060"/>
      <c r="F1060"/>
      <c r="G1060"/>
      <c r="H1060"/>
      <c r="I1060"/>
      <c r="J1060"/>
      <c r="K1060"/>
      <c r="L1060"/>
    </row>
    <row r="1061" spans="2:12" s="2" customFormat="1" x14ac:dyDescent="0.25">
      <c r="B1061" s="6"/>
      <c r="C1061" s="7"/>
      <c r="D1061"/>
      <c r="E1061"/>
      <c r="F1061"/>
      <c r="G1061"/>
      <c r="H1061"/>
      <c r="I1061"/>
      <c r="J1061"/>
      <c r="K1061"/>
      <c r="L1061"/>
    </row>
    <row r="1062" spans="2:12" s="2" customFormat="1" x14ac:dyDescent="0.25">
      <c r="B1062" s="6"/>
      <c r="C1062" s="7"/>
      <c r="D1062"/>
      <c r="E1062"/>
      <c r="F1062"/>
      <c r="G1062"/>
      <c r="H1062"/>
      <c r="I1062"/>
      <c r="J1062"/>
      <c r="K1062"/>
      <c r="L1062"/>
    </row>
    <row r="1063" spans="2:12" s="2" customFormat="1" x14ac:dyDescent="0.25">
      <c r="B1063" s="6"/>
      <c r="C1063" s="7"/>
      <c r="D1063"/>
      <c r="E1063"/>
      <c r="F1063"/>
      <c r="G1063"/>
      <c r="H1063"/>
      <c r="I1063"/>
      <c r="J1063"/>
      <c r="K1063"/>
      <c r="L1063"/>
    </row>
    <row r="1064" spans="2:12" s="2" customFormat="1" x14ac:dyDescent="0.25">
      <c r="B1064" s="6"/>
      <c r="C1064" s="7"/>
      <c r="D1064"/>
      <c r="E1064"/>
      <c r="F1064"/>
      <c r="G1064"/>
      <c r="H1064"/>
      <c r="I1064"/>
      <c r="J1064"/>
      <c r="K1064"/>
      <c r="L1064"/>
    </row>
    <row r="1065" spans="2:12" s="2" customFormat="1" x14ac:dyDescent="0.25">
      <c r="B1065" s="6"/>
      <c r="C1065" s="7"/>
      <c r="D1065"/>
      <c r="E1065"/>
      <c r="F1065"/>
      <c r="G1065"/>
      <c r="H1065"/>
      <c r="I1065"/>
      <c r="J1065"/>
      <c r="K1065"/>
      <c r="L1065"/>
    </row>
    <row r="1066" spans="2:12" s="2" customFormat="1" x14ac:dyDescent="0.25">
      <c r="B1066" s="6"/>
      <c r="C1066" s="7"/>
      <c r="D1066"/>
      <c r="E1066"/>
      <c r="F1066"/>
      <c r="G1066"/>
      <c r="H1066"/>
      <c r="I1066"/>
      <c r="J1066"/>
      <c r="K1066"/>
      <c r="L1066"/>
    </row>
    <row r="1067" spans="2:12" s="2" customFormat="1" x14ac:dyDescent="0.25">
      <c r="B1067" s="6"/>
      <c r="C1067" s="7"/>
      <c r="D1067"/>
      <c r="E1067"/>
      <c r="F1067"/>
      <c r="G1067"/>
      <c r="H1067"/>
      <c r="I1067"/>
      <c r="J1067"/>
      <c r="K1067"/>
      <c r="L1067"/>
    </row>
    <row r="1068" spans="2:12" s="2" customFormat="1" x14ac:dyDescent="0.25">
      <c r="B1068" s="6"/>
      <c r="C1068" s="7"/>
      <c r="D1068"/>
      <c r="E1068"/>
      <c r="F1068"/>
      <c r="G1068"/>
      <c r="H1068"/>
      <c r="I1068"/>
      <c r="J1068"/>
      <c r="K1068"/>
      <c r="L1068"/>
    </row>
    <row r="1069" spans="2:12" s="2" customFormat="1" x14ac:dyDescent="0.25">
      <c r="B1069" s="6"/>
      <c r="C1069" s="7"/>
      <c r="D1069"/>
      <c r="E1069"/>
      <c r="F1069"/>
      <c r="G1069"/>
      <c r="H1069"/>
      <c r="I1069"/>
      <c r="J1069"/>
      <c r="K1069"/>
      <c r="L1069"/>
    </row>
    <row r="1070" spans="2:12" s="2" customFormat="1" x14ac:dyDescent="0.25">
      <c r="B1070" s="6"/>
      <c r="C1070" s="7"/>
      <c r="D1070"/>
      <c r="E1070"/>
      <c r="F1070"/>
      <c r="G1070"/>
      <c r="H1070"/>
      <c r="I1070"/>
      <c r="J1070"/>
      <c r="K1070"/>
      <c r="L1070"/>
    </row>
    <row r="1071" spans="2:12" s="2" customFormat="1" x14ac:dyDescent="0.25">
      <c r="B1071" s="6"/>
      <c r="C1071" s="7"/>
      <c r="D1071"/>
      <c r="E1071"/>
      <c r="F1071"/>
      <c r="G1071"/>
      <c r="H1071"/>
      <c r="I1071"/>
      <c r="J1071"/>
      <c r="K1071"/>
      <c r="L1071"/>
    </row>
    <row r="1072" spans="2:12" s="2" customFormat="1" x14ac:dyDescent="0.25">
      <c r="B1072" s="6"/>
      <c r="C1072" s="7"/>
      <c r="D1072"/>
      <c r="E1072"/>
      <c r="F1072"/>
      <c r="G1072"/>
      <c r="H1072"/>
      <c r="I1072"/>
      <c r="J1072"/>
      <c r="K1072"/>
      <c r="L1072"/>
    </row>
    <row r="1073" spans="2:12" s="2" customFormat="1" x14ac:dyDescent="0.25">
      <c r="B1073" s="6"/>
      <c r="C1073" s="7"/>
      <c r="D1073"/>
      <c r="E1073"/>
      <c r="F1073"/>
      <c r="G1073"/>
      <c r="H1073"/>
      <c r="I1073"/>
      <c r="J1073"/>
      <c r="K1073"/>
      <c r="L1073"/>
    </row>
    <row r="1074" spans="2:12" s="2" customFormat="1" x14ac:dyDescent="0.25">
      <c r="B1074" s="6"/>
      <c r="C1074" s="7"/>
      <c r="D1074"/>
      <c r="E1074"/>
      <c r="F1074"/>
      <c r="G1074"/>
      <c r="H1074"/>
      <c r="I1074"/>
      <c r="J1074"/>
      <c r="K1074"/>
      <c r="L1074"/>
    </row>
    <row r="1075" spans="2:12" s="2" customFormat="1" x14ac:dyDescent="0.25">
      <c r="B1075" s="6"/>
      <c r="C1075" s="7"/>
      <c r="D1075"/>
      <c r="E1075"/>
      <c r="F1075"/>
      <c r="G1075"/>
      <c r="H1075"/>
      <c r="I1075"/>
      <c r="J1075"/>
      <c r="K1075"/>
      <c r="L1075"/>
    </row>
    <row r="1076" spans="2:12" s="2" customFormat="1" x14ac:dyDescent="0.25">
      <c r="B1076" s="6"/>
      <c r="C1076" s="7"/>
      <c r="D1076"/>
      <c r="E1076"/>
      <c r="F1076"/>
      <c r="G1076"/>
      <c r="H1076"/>
      <c r="I1076"/>
      <c r="J1076"/>
      <c r="K1076"/>
      <c r="L1076"/>
    </row>
    <row r="1077" spans="2:12" s="2" customFormat="1" x14ac:dyDescent="0.25">
      <c r="B1077" s="6"/>
      <c r="C1077" s="7"/>
      <c r="D1077"/>
      <c r="E1077"/>
      <c r="F1077"/>
      <c r="G1077"/>
      <c r="H1077"/>
      <c r="I1077"/>
      <c r="J1077"/>
      <c r="K1077"/>
      <c r="L1077"/>
    </row>
    <row r="1078" spans="2:12" s="2" customFormat="1" x14ac:dyDescent="0.25">
      <c r="B1078" s="6"/>
      <c r="C1078" s="7"/>
      <c r="D1078"/>
      <c r="E1078"/>
      <c r="F1078"/>
      <c r="G1078"/>
      <c r="H1078"/>
      <c r="I1078"/>
      <c r="J1078"/>
      <c r="K1078"/>
      <c r="L1078"/>
    </row>
    <row r="1079" spans="2:12" s="2" customFormat="1" x14ac:dyDescent="0.25">
      <c r="B1079" s="6"/>
      <c r="C1079" s="7"/>
      <c r="D1079"/>
      <c r="E1079"/>
      <c r="F1079"/>
      <c r="G1079"/>
      <c r="H1079"/>
      <c r="I1079"/>
      <c r="J1079"/>
      <c r="K1079"/>
      <c r="L1079"/>
    </row>
    <row r="1080" spans="2:12" s="2" customFormat="1" x14ac:dyDescent="0.25">
      <c r="B1080" s="6"/>
      <c r="C1080" s="7"/>
      <c r="D1080"/>
      <c r="E1080"/>
      <c r="F1080"/>
      <c r="G1080"/>
      <c r="H1080"/>
      <c r="I1080"/>
      <c r="J1080"/>
      <c r="K1080"/>
      <c r="L1080"/>
    </row>
    <row r="1081" spans="2:12" s="2" customFormat="1" x14ac:dyDescent="0.25">
      <c r="B1081" s="6"/>
      <c r="C1081" s="7"/>
      <c r="D1081"/>
      <c r="E1081"/>
      <c r="F1081"/>
      <c r="G1081"/>
      <c r="H1081"/>
      <c r="I1081"/>
      <c r="J1081"/>
      <c r="K1081"/>
      <c r="L1081"/>
    </row>
    <row r="1082" spans="2:12" s="2" customFormat="1" x14ac:dyDescent="0.25">
      <c r="B1082" s="6"/>
      <c r="C1082" s="7"/>
      <c r="D1082"/>
      <c r="E1082"/>
      <c r="F1082"/>
      <c r="G1082"/>
      <c r="H1082"/>
      <c r="I1082"/>
      <c r="J1082"/>
      <c r="K1082"/>
      <c r="L1082"/>
    </row>
    <row r="1083" spans="2:12" s="2" customFormat="1" x14ac:dyDescent="0.25">
      <c r="B1083" s="6"/>
      <c r="C1083" s="7"/>
      <c r="D1083"/>
      <c r="E1083"/>
      <c r="F1083"/>
      <c r="G1083"/>
      <c r="H1083"/>
      <c r="I1083"/>
      <c r="J1083"/>
      <c r="K1083"/>
      <c r="L1083"/>
    </row>
    <row r="1084" spans="2:12" s="2" customFormat="1" x14ac:dyDescent="0.25">
      <c r="B1084" s="6"/>
      <c r="C1084" s="7"/>
      <c r="D1084"/>
      <c r="E1084"/>
      <c r="F1084"/>
      <c r="G1084"/>
      <c r="H1084"/>
      <c r="I1084"/>
      <c r="J1084"/>
      <c r="K1084"/>
      <c r="L1084"/>
    </row>
    <row r="1085" spans="2:12" s="2" customFormat="1" x14ac:dyDescent="0.25">
      <c r="B1085" s="6"/>
      <c r="C1085" s="7"/>
      <c r="D1085"/>
      <c r="E1085"/>
      <c r="F1085"/>
      <c r="G1085"/>
      <c r="H1085"/>
      <c r="I1085"/>
      <c r="J1085"/>
      <c r="K1085"/>
      <c r="L1085"/>
    </row>
    <row r="1086" spans="2:12" s="2" customFormat="1" x14ac:dyDescent="0.25">
      <c r="B1086" s="6"/>
      <c r="C1086" s="7"/>
      <c r="D1086"/>
      <c r="E1086"/>
      <c r="F1086"/>
      <c r="G1086"/>
      <c r="H1086"/>
      <c r="I1086"/>
      <c r="J1086"/>
      <c r="K1086"/>
      <c r="L1086"/>
    </row>
    <row r="1087" spans="2:12" s="2" customFormat="1" x14ac:dyDescent="0.25">
      <c r="B1087" s="6"/>
      <c r="C1087" s="7"/>
      <c r="D1087"/>
      <c r="E1087"/>
      <c r="F1087"/>
      <c r="G1087"/>
      <c r="H1087"/>
      <c r="I1087"/>
      <c r="J1087"/>
      <c r="K1087"/>
      <c r="L1087"/>
    </row>
    <row r="1088" spans="2:12" s="2" customFormat="1" x14ac:dyDescent="0.25">
      <c r="B1088" s="6"/>
      <c r="C1088" s="7"/>
      <c r="D1088"/>
      <c r="E1088"/>
      <c r="F1088"/>
      <c r="G1088"/>
      <c r="H1088"/>
      <c r="I1088"/>
      <c r="J1088"/>
      <c r="K1088"/>
      <c r="L1088"/>
    </row>
    <row r="1089" spans="2:12" s="2" customFormat="1" x14ac:dyDescent="0.25">
      <c r="B1089" s="6"/>
      <c r="C1089" s="7"/>
      <c r="D1089"/>
      <c r="E1089"/>
      <c r="F1089"/>
      <c r="G1089"/>
      <c r="H1089"/>
      <c r="I1089"/>
      <c r="J1089"/>
      <c r="K1089"/>
      <c r="L1089"/>
    </row>
    <row r="1090" spans="2:12" s="2" customFormat="1" x14ac:dyDescent="0.25">
      <c r="B1090" s="6"/>
      <c r="C1090" s="7"/>
      <c r="D1090"/>
      <c r="E1090"/>
      <c r="F1090"/>
      <c r="G1090"/>
      <c r="H1090"/>
      <c r="I1090"/>
      <c r="J1090"/>
      <c r="K1090"/>
      <c r="L1090"/>
    </row>
    <row r="1091" spans="2:12" s="2" customFormat="1" x14ac:dyDescent="0.25">
      <c r="B1091" s="6"/>
      <c r="C1091" s="7"/>
      <c r="D1091"/>
      <c r="E1091"/>
      <c r="F1091"/>
      <c r="G1091"/>
      <c r="H1091"/>
      <c r="I1091"/>
      <c r="J1091"/>
      <c r="K1091"/>
      <c r="L1091"/>
    </row>
    <row r="1092" spans="2:12" s="2" customFormat="1" x14ac:dyDescent="0.25">
      <c r="B1092" s="6"/>
      <c r="C1092" s="7"/>
      <c r="D1092"/>
      <c r="E1092"/>
      <c r="F1092"/>
      <c r="G1092"/>
      <c r="H1092"/>
      <c r="I1092"/>
      <c r="J1092"/>
      <c r="K1092"/>
      <c r="L1092"/>
    </row>
    <row r="1093" spans="2:12" s="2" customFormat="1" x14ac:dyDescent="0.25">
      <c r="B1093" s="6"/>
      <c r="C1093" s="7"/>
      <c r="D1093"/>
      <c r="E1093"/>
      <c r="F1093"/>
      <c r="G1093"/>
      <c r="H1093"/>
      <c r="I1093"/>
      <c r="J1093"/>
      <c r="K1093"/>
      <c r="L1093"/>
    </row>
    <row r="1094" spans="2:12" s="2" customFormat="1" x14ac:dyDescent="0.25">
      <c r="B1094" s="6"/>
      <c r="C1094" s="7"/>
      <c r="D1094"/>
      <c r="E1094"/>
      <c r="F1094"/>
      <c r="G1094"/>
      <c r="H1094"/>
      <c r="I1094"/>
      <c r="J1094"/>
      <c r="K1094"/>
      <c r="L1094"/>
    </row>
    <row r="1095" spans="2:12" s="2" customFormat="1" x14ac:dyDescent="0.25">
      <c r="B1095" s="6"/>
      <c r="C1095" s="7"/>
      <c r="D1095"/>
      <c r="E1095"/>
      <c r="F1095"/>
      <c r="G1095"/>
      <c r="H1095"/>
      <c r="I1095"/>
      <c r="J1095"/>
      <c r="K1095"/>
      <c r="L1095"/>
    </row>
    <row r="1096" spans="2:12" s="2" customFormat="1" x14ac:dyDescent="0.25">
      <c r="B1096" s="6"/>
      <c r="C1096" s="7"/>
      <c r="D1096"/>
      <c r="E1096"/>
      <c r="F1096"/>
      <c r="G1096"/>
      <c r="H1096"/>
      <c r="I1096"/>
      <c r="J1096"/>
      <c r="K1096"/>
      <c r="L1096"/>
    </row>
    <row r="1097" spans="2:12" s="2" customFormat="1" x14ac:dyDescent="0.25">
      <c r="B1097" s="6"/>
      <c r="C1097" s="7"/>
      <c r="D1097"/>
      <c r="E1097"/>
      <c r="F1097"/>
      <c r="G1097"/>
      <c r="H1097"/>
      <c r="I1097"/>
      <c r="J1097"/>
      <c r="K1097"/>
      <c r="L1097"/>
    </row>
    <row r="1098" spans="2:12" s="2" customFormat="1" x14ac:dyDescent="0.25">
      <c r="B1098" s="6"/>
      <c r="C1098" s="7"/>
      <c r="D1098"/>
      <c r="E1098"/>
      <c r="F1098"/>
      <c r="G1098"/>
      <c r="H1098"/>
      <c r="I1098"/>
      <c r="J1098"/>
      <c r="K1098"/>
      <c r="L1098"/>
    </row>
    <row r="1099" spans="2:12" s="2" customFormat="1" x14ac:dyDescent="0.25">
      <c r="B1099" s="6"/>
      <c r="C1099" s="7"/>
      <c r="D1099"/>
      <c r="E1099"/>
      <c r="F1099"/>
      <c r="G1099"/>
      <c r="H1099"/>
      <c r="I1099"/>
      <c r="J1099"/>
      <c r="K1099"/>
      <c r="L1099"/>
    </row>
    <row r="1100" spans="2:12" s="2" customFormat="1" x14ac:dyDescent="0.25">
      <c r="B1100" s="6"/>
      <c r="C1100" s="7"/>
      <c r="D1100"/>
      <c r="E1100"/>
      <c r="F1100"/>
      <c r="G1100"/>
      <c r="H1100"/>
      <c r="I1100"/>
      <c r="J1100"/>
      <c r="K1100"/>
      <c r="L1100"/>
    </row>
    <row r="1101" spans="2:12" s="2" customFormat="1" x14ac:dyDescent="0.25">
      <c r="B1101" s="6"/>
      <c r="C1101" s="7"/>
      <c r="D1101"/>
      <c r="E1101"/>
      <c r="F1101"/>
      <c r="G1101"/>
      <c r="H1101"/>
      <c r="I1101"/>
      <c r="J1101"/>
      <c r="K1101"/>
      <c r="L1101"/>
    </row>
    <row r="1102" spans="2:12" s="2" customFormat="1" x14ac:dyDescent="0.25">
      <c r="B1102" s="6"/>
      <c r="C1102" s="7"/>
      <c r="D1102"/>
      <c r="E1102"/>
      <c r="F1102"/>
      <c r="G1102"/>
      <c r="H1102"/>
      <c r="I1102"/>
      <c r="J1102"/>
      <c r="K1102"/>
      <c r="L1102"/>
    </row>
    <row r="1103" spans="2:12" s="2" customFormat="1" x14ac:dyDescent="0.25">
      <c r="B1103" s="6"/>
      <c r="C1103" s="7"/>
      <c r="D1103"/>
      <c r="E1103"/>
      <c r="F1103"/>
      <c r="G1103"/>
      <c r="H1103"/>
      <c r="I1103"/>
      <c r="J1103"/>
      <c r="K1103"/>
      <c r="L1103"/>
    </row>
    <row r="1104" spans="2:12" s="2" customFormat="1" x14ac:dyDescent="0.25">
      <c r="B1104" s="6"/>
      <c r="C1104" s="7"/>
      <c r="D1104"/>
      <c r="E1104"/>
      <c r="F1104"/>
      <c r="G1104"/>
      <c r="H1104"/>
      <c r="I1104"/>
      <c r="J1104"/>
      <c r="K1104"/>
      <c r="L1104"/>
    </row>
    <row r="1105" spans="2:12" s="2" customFormat="1" x14ac:dyDescent="0.25">
      <c r="B1105" s="6"/>
      <c r="C1105" s="7"/>
      <c r="D1105"/>
      <c r="E1105"/>
      <c r="F1105"/>
      <c r="G1105"/>
      <c r="H1105"/>
      <c r="I1105"/>
      <c r="J1105"/>
      <c r="K1105"/>
      <c r="L1105"/>
    </row>
    <row r="1106" spans="2:12" s="2" customFormat="1" x14ac:dyDescent="0.25">
      <c r="B1106" s="6"/>
      <c r="C1106" s="7"/>
      <c r="D1106"/>
      <c r="E1106"/>
      <c r="F1106"/>
      <c r="G1106"/>
      <c r="H1106"/>
      <c r="I1106"/>
      <c r="J1106"/>
      <c r="K1106"/>
      <c r="L1106"/>
    </row>
    <row r="1107" spans="2:12" s="2" customFormat="1" x14ac:dyDescent="0.25">
      <c r="B1107" s="6"/>
      <c r="C1107" s="7"/>
      <c r="D1107"/>
      <c r="E1107"/>
      <c r="F1107"/>
      <c r="G1107"/>
      <c r="H1107"/>
      <c r="I1107"/>
      <c r="J1107"/>
      <c r="K1107"/>
      <c r="L1107"/>
    </row>
    <row r="1108" spans="2:12" s="2" customFormat="1" x14ac:dyDescent="0.25">
      <c r="B1108" s="6"/>
      <c r="C1108" s="7"/>
      <c r="D1108"/>
      <c r="E1108"/>
      <c r="F1108"/>
      <c r="G1108"/>
      <c r="H1108"/>
      <c r="I1108"/>
      <c r="J1108"/>
      <c r="K1108"/>
      <c r="L1108"/>
    </row>
    <row r="1109" spans="2:12" s="2" customFormat="1" x14ac:dyDescent="0.25">
      <c r="B1109" s="6"/>
      <c r="C1109" s="7"/>
      <c r="D1109"/>
      <c r="E1109"/>
      <c r="F1109"/>
      <c r="G1109"/>
      <c r="H1109"/>
      <c r="I1109"/>
      <c r="J1109"/>
      <c r="K1109"/>
      <c r="L1109"/>
    </row>
    <row r="1110" spans="2:12" s="2" customFormat="1" x14ac:dyDescent="0.25">
      <c r="B1110" s="6"/>
      <c r="C1110" s="7"/>
      <c r="D1110"/>
      <c r="E1110"/>
      <c r="F1110"/>
      <c r="G1110"/>
      <c r="H1110"/>
      <c r="I1110"/>
      <c r="J1110"/>
      <c r="K1110"/>
      <c r="L1110"/>
    </row>
    <row r="1111" spans="2:12" s="2" customFormat="1" x14ac:dyDescent="0.25">
      <c r="B1111" s="6"/>
      <c r="C1111" s="7"/>
      <c r="D1111"/>
      <c r="E1111"/>
      <c r="F1111"/>
      <c r="G1111"/>
      <c r="H1111"/>
      <c r="I1111"/>
      <c r="J1111"/>
      <c r="K1111"/>
      <c r="L1111"/>
    </row>
    <row r="1112" spans="2:12" s="2" customFormat="1" x14ac:dyDescent="0.25">
      <c r="B1112" s="6"/>
      <c r="C1112" s="7"/>
      <c r="D1112"/>
      <c r="E1112"/>
      <c r="F1112"/>
      <c r="G1112"/>
      <c r="H1112"/>
      <c r="I1112"/>
      <c r="J1112"/>
      <c r="K1112"/>
      <c r="L1112"/>
    </row>
    <row r="1113" spans="2:12" s="2" customFormat="1" x14ac:dyDescent="0.25">
      <c r="B1113" s="6"/>
      <c r="C1113" s="7"/>
      <c r="D1113"/>
      <c r="E1113"/>
      <c r="F1113"/>
      <c r="G1113"/>
      <c r="H1113"/>
      <c r="I1113"/>
      <c r="J1113"/>
      <c r="K1113"/>
      <c r="L1113"/>
    </row>
    <row r="1114" spans="2:12" s="2" customFormat="1" x14ac:dyDescent="0.25">
      <c r="B1114" s="6"/>
      <c r="C1114" s="7"/>
      <c r="D1114"/>
      <c r="E1114"/>
      <c r="F1114"/>
      <c r="G1114"/>
      <c r="H1114"/>
      <c r="I1114"/>
      <c r="J1114"/>
      <c r="K1114"/>
      <c r="L1114"/>
    </row>
    <row r="1115" spans="2:12" s="2" customFormat="1" x14ac:dyDescent="0.25">
      <c r="B1115" s="6"/>
      <c r="C1115" s="7"/>
      <c r="D1115"/>
      <c r="E1115"/>
      <c r="F1115"/>
      <c r="G1115"/>
      <c r="H1115"/>
      <c r="I1115"/>
      <c r="J1115"/>
      <c r="K1115"/>
      <c r="L1115"/>
    </row>
    <row r="1116" spans="2:12" s="2" customFormat="1" x14ac:dyDescent="0.25">
      <c r="B1116" s="6"/>
      <c r="C1116" s="7"/>
      <c r="D1116"/>
      <c r="E1116"/>
      <c r="F1116"/>
      <c r="G1116"/>
      <c r="H1116"/>
      <c r="I1116"/>
      <c r="J1116"/>
      <c r="K1116"/>
      <c r="L1116"/>
    </row>
    <row r="1117" spans="2:12" s="2" customFormat="1" x14ac:dyDescent="0.25">
      <c r="B1117" s="6"/>
      <c r="C1117" s="7"/>
      <c r="D1117"/>
      <c r="E1117"/>
      <c r="F1117"/>
      <c r="G1117"/>
      <c r="H1117"/>
      <c r="I1117"/>
      <c r="J1117"/>
      <c r="K1117"/>
      <c r="L1117"/>
    </row>
    <row r="1118" spans="2:12" s="2" customFormat="1" x14ac:dyDescent="0.25">
      <c r="B1118" s="6"/>
      <c r="C1118" s="7"/>
      <c r="D1118"/>
      <c r="E1118"/>
      <c r="F1118"/>
      <c r="G1118"/>
      <c r="H1118"/>
      <c r="I1118"/>
      <c r="J1118"/>
      <c r="K1118"/>
      <c r="L1118"/>
    </row>
    <row r="1119" spans="2:12" s="2" customFormat="1" x14ac:dyDescent="0.25">
      <c r="B1119" s="6"/>
      <c r="C1119" s="7"/>
      <c r="D1119"/>
      <c r="E1119"/>
      <c r="F1119"/>
      <c r="G1119"/>
      <c r="H1119"/>
      <c r="I1119"/>
      <c r="J1119"/>
      <c r="K1119"/>
      <c r="L1119"/>
    </row>
    <row r="1120" spans="2:12" s="2" customFormat="1" x14ac:dyDescent="0.25">
      <c r="B1120" s="6"/>
      <c r="C1120" s="7"/>
      <c r="D1120"/>
      <c r="E1120"/>
      <c r="F1120"/>
      <c r="G1120"/>
      <c r="H1120"/>
      <c r="I1120"/>
      <c r="J1120"/>
      <c r="K1120"/>
      <c r="L1120"/>
    </row>
    <row r="1121" spans="2:12" s="2" customFormat="1" x14ac:dyDescent="0.25">
      <c r="B1121" s="6"/>
      <c r="C1121" s="7"/>
      <c r="D1121"/>
      <c r="E1121"/>
      <c r="F1121"/>
      <c r="G1121"/>
      <c r="H1121"/>
      <c r="I1121"/>
      <c r="J1121"/>
      <c r="K1121"/>
      <c r="L1121"/>
    </row>
    <row r="1122" spans="2:12" s="2" customFormat="1" x14ac:dyDescent="0.25">
      <c r="B1122" s="6"/>
      <c r="C1122" s="7"/>
      <c r="D1122"/>
      <c r="E1122"/>
      <c r="F1122"/>
      <c r="G1122"/>
      <c r="H1122"/>
      <c r="I1122"/>
      <c r="J1122"/>
      <c r="K1122"/>
      <c r="L1122"/>
    </row>
    <row r="1123" spans="2:12" s="2" customFormat="1" x14ac:dyDescent="0.25">
      <c r="B1123" s="6"/>
      <c r="C1123" s="7"/>
      <c r="D1123"/>
      <c r="E1123"/>
      <c r="F1123"/>
      <c r="G1123"/>
      <c r="H1123"/>
      <c r="I1123"/>
      <c r="J1123"/>
      <c r="K1123"/>
      <c r="L1123"/>
    </row>
    <row r="1124" spans="2:12" s="2" customFormat="1" x14ac:dyDescent="0.25">
      <c r="B1124" s="6"/>
      <c r="C1124" s="7"/>
      <c r="D1124"/>
      <c r="E1124"/>
      <c r="F1124"/>
      <c r="G1124"/>
      <c r="H1124"/>
      <c r="I1124"/>
      <c r="J1124"/>
      <c r="K1124"/>
      <c r="L1124"/>
    </row>
    <row r="1125" spans="2:12" s="2" customFormat="1" x14ac:dyDescent="0.25">
      <c r="B1125" s="6"/>
      <c r="C1125" s="7"/>
      <c r="D1125"/>
      <c r="E1125"/>
      <c r="F1125"/>
      <c r="G1125"/>
      <c r="H1125"/>
      <c r="I1125"/>
      <c r="J1125"/>
      <c r="K1125"/>
      <c r="L1125"/>
    </row>
    <row r="1126" spans="2:12" s="2" customFormat="1" x14ac:dyDescent="0.25">
      <c r="B1126" s="6"/>
      <c r="C1126" s="7"/>
      <c r="D1126"/>
      <c r="E1126"/>
      <c r="F1126"/>
      <c r="G1126"/>
      <c r="H1126"/>
      <c r="I1126"/>
      <c r="J1126"/>
      <c r="K1126"/>
      <c r="L1126"/>
    </row>
    <row r="1127" spans="2:12" s="2" customFormat="1" x14ac:dyDescent="0.25">
      <c r="B1127" s="6"/>
      <c r="C1127" s="7"/>
      <c r="D1127"/>
      <c r="E1127"/>
      <c r="F1127"/>
      <c r="G1127"/>
      <c r="H1127"/>
      <c r="I1127"/>
      <c r="J1127"/>
      <c r="K1127"/>
      <c r="L1127"/>
    </row>
    <row r="1128" spans="2:12" s="2" customFormat="1" x14ac:dyDescent="0.25">
      <c r="B1128" s="6"/>
      <c r="C1128" s="7"/>
      <c r="D1128"/>
      <c r="E1128"/>
      <c r="F1128"/>
      <c r="G1128"/>
      <c r="H1128"/>
      <c r="I1128"/>
      <c r="J1128"/>
      <c r="K1128"/>
      <c r="L1128"/>
    </row>
    <row r="1129" spans="2:12" s="2" customFormat="1" x14ac:dyDescent="0.25">
      <c r="B1129" s="6"/>
      <c r="C1129" s="7"/>
      <c r="D1129"/>
      <c r="E1129"/>
      <c r="F1129"/>
      <c r="G1129"/>
      <c r="H1129"/>
      <c r="I1129"/>
      <c r="J1129"/>
      <c r="K1129"/>
      <c r="L1129"/>
    </row>
    <row r="1130" spans="2:12" s="2" customFormat="1" x14ac:dyDescent="0.25">
      <c r="B1130" s="6"/>
      <c r="C1130" s="7"/>
      <c r="D1130"/>
      <c r="E1130"/>
      <c r="F1130"/>
      <c r="G1130"/>
      <c r="H1130"/>
      <c r="I1130"/>
      <c r="J1130"/>
      <c r="K1130"/>
      <c r="L1130"/>
    </row>
    <row r="1131" spans="2:12" s="2" customFormat="1" x14ac:dyDescent="0.25">
      <c r="B1131" s="6"/>
      <c r="C1131" s="7"/>
      <c r="D1131"/>
      <c r="E1131"/>
      <c r="F1131"/>
      <c r="G1131"/>
      <c r="H1131"/>
      <c r="I1131"/>
      <c r="J1131"/>
      <c r="K1131"/>
      <c r="L1131"/>
    </row>
    <row r="1132" spans="2:12" s="2" customFormat="1" x14ac:dyDescent="0.25">
      <c r="B1132" s="6"/>
      <c r="C1132" s="7"/>
      <c r="D1132"/>
      <c r="E1132"/>
      <c r="F1132"/>
      <c r="G1132"/>
      <c r="H1132"/>
      <c r="I1132"/>
      <c r="J1132"/>
      <c r="K1132"/>
      <c r="L1132"/>
    </row>
    <row r="1133" spans="2:12" s="2" customFormat="1" x14ac:dyDescent="0.25">
      <c r="B1133" s="6"/>
      <c r="C1133" s="7"/>
      <c r="D1133"/>
      <c r="E1133"/>
      <c r="F1133"/>
      <c r="G1133"/>
      <c r="H1133"/>
      <c r="I1133"/>
      <c r="J1133"/>
      <c r="K1133"/>
      <c r="L1133"/>
    </row>
    <row r="1134" spans="2:12" s="2" customFormat="1" x14ac:dyDescent="0.25">
      <c r="B1134" s="6"/>
      <c r="C1134" s="7"/>
      <c r="D1134"/>
      <c r="E1134"/>
      <c r="F1134"/>
      <c r="G1134"/>
      <c r="H1134"/>
      <c r="I1134"/>
      <c r="J1134"/>
      <c r="K1134"/>
      <c r="L1134"/>
    </row>
    <row r="1135" spans="2:12" s="2" customFormat="1" x14ac:dyDescent="0.25">
      <c r="B1135" s="6"/>
      <c r="C1135" s="7"/>
      <c r="D1135"/>
      <c r="E1135"/>
      <c r="F1135"/>
      <c r="G1135"/>
      <c r="H1135"/>
      <c r="I1135"/>
      <c r="J1135"/>
      <c r="K1135"/>
      <c r="L1135"/>
    </row>
    <row r="1136" spans="2:12" s="2" customFormat="1" x14ac:dyDescent="0.25">
      <c r="B1136" s="6"/>
      <c r="C1136" s="7"/>
      <c r="D1136"/>
      <c r="E1136"/>
      <c r="F1136"/>
      <c r="G1136"/>
      <c r="H1136"/>
      <c r="I1136"/>
      <c r="J1136"/>
      <c r="K1136"/>
      <c r="L1136"/>
    </row>
    <row r="1137" spans="2:12" s="2" customFormat="1" x14ac:dyDescent="0.25">
      <c r="B1137" s="6"/>
      <c r="C1137" s="7"/>
      <c r="D1137"/>
      <c r="E1137"/>
      <c r="F1137"/>
      <c r="G1137"/>
      <c r="H1137"/>
      <c r="I1137"/>
      <c r="J1137"/>
      <c r="K1137"/>
      <c r="L1137"/>
    </row>
    <row r="1138" spans="2:12" s="2" customFormat="1" x14ac:dyDescent="0.25">
      <c r="B1138" s="6"/>
      <c r="C1138" s="7"/>
      <c r="D1138"/>
      <c r="E1138"/>
      <c r="F1138"/>
      <c r="G1138"/>
      <c r="H1138"/>
      <c r="I1138"/>
      <c r="J1138"/>
      <c r="K1138"/>
      <c r="L1138"/>
    </row>
    <row r="1139" spans="2:12" s="2" customFormat="1" x14ac:dyDescent="0.25">
      <c r="B1139" s="6"/>
      <c r="C1139" s="7"/>
      <c r="D1139"/>
      <c r="E1139"/>
      <c r="F1139"/>
      <c r="G1139"/>
      <c r="H1139"/>
      <c r="I1139"/>
      <c r="J1139"/>
      <c r="K1139"/>
      <c r="L1139"/>
    </row>
    <row r="1140" spans="2:12" s="2" customFormat="1" x14ac:dyDescent="0.25">
      <c r="B1140" s="6"/>
      <c r="C1140" s="7"/>
      <c r="D1140"/>
      <c r="E1140"/>
      <c r="F1140"/>
      <c r="G1140"/>
      <c r="H1140"/>
      <c r="I1140"/>
      <c r="J1140"/>
      <c r="K1140"/>
      <c r="L1140"/>
    </row>
    <row r="1141" spans="2:12" s="2" customFormat="1" x14ac:dyDescent="0.25">
      <c r="B1141" s="6"/>
      <c r="C1141" s="7"/>
      <c r="D1141"/>
      <c r="E1141"/>
      <c r="F1141"/>
      <c r="G1141"/>
      <c r="H1141"/>
      <c r="I1141"/>
      <c r="J1141"/>
      <c r="K1141"/>
      <c r="L1141"/>
    </row>
    <row r="1142" spans="2:12" s="2" customFormat="1" x14ac:dyDescent="0.25">
      <c r="B1142" s="6"/>
      <c r="C1142" s="7"/>
      <c r="D1142"/>
      <c r="E1142"/>
      <c r="F1142"/>
      <c r="G1142"/>
      <c r="H1142"/>
      <c r="I1142"/>
      <c r="J1142"/>
      <c r="K1142"/>
      <c r="L1142"/>
    </row>
    <row r="1143" spans="2:12" s="2" customFormat="1" x14ac:dyDescent="0.25">
      <c r="B1143" s="6"/>
      <c r="C1143" s="7"/>
      <c r="D1143"/>
      <c r="E1143"/>
      <c r="F1143"/>
      <c r="G1143"/>
      <c r="H1143"/>
      <c r="I1143"/>
      <c r="J1143"/>
      <c r="K1143"/>
      <c r="L1143"/>
    </row>
    <row r="1144" spans="2:12" s="2" customFormat="1" x14ac:dyDescent="0.25">
      <c r="B1144" s="6"/>
      <c r="C1144" s="7"/>
      <c r="D1144"/>
      <c r="E1144"/>
      <c r="F1144"/>
      <c r="G1144"/>
      <c r="H1144"/>
      <c r="I1144"/>
      <c r="J1144"/>
      <c r="K1144"/>
      <c r="L1144"/>
    </row>
    <row r="1145" spans="2:12" s="2" customFormat="1" x14ac:dyDescent="0.25">
      <c r="B1145" s="6"/>
      <c r="C1145" s="7"/>
      <c r="D1145"/>
      <c r="E1145"/>
      <c r="F1145"/>
      <c r="G1145"/>
      <c r="H1145"/>
      <c r="I1145"/>
      <c r="J1145"/>
      <c r="K1145"/>
      <c r="L1145"/>
    </row>
    <row r="1146" spans="2:12" s="2" customFormat="1" x14ac:dyDescent="0.25">
      <c r="B1146" s="6"/>
      <c r="C1146" s="7"/>
      <c r="D1146"/>
      <c r="E1146"/>
      <c r="F1146"/>
      <c r="G1146"/>
      <c r="H1146"/>
      <c r="I1146"/>
      <c r="J1146"/>
      <c r="K1146"/>
      <c r="L1146"/>
    </row>
    <row r="1147" spans="2:12" s="2" customFormat="1" x14ac:dyDescent="0.25">
      <c r="B1147" s="6"/>
      <c r="C1147" s="7"/>
      <c r="D1147"/>
      <c r="E1147"/>
      <c r="F1147"/>
      <c r="G1147"/>
      <c r="H1147"/>
      <c r="I1147"/>
      <c r="J1147"/>
      <c r="K1147"/>
      <c r="L1147"/>
    </row>
    <row r="1148" spans="2:12" s="2" customFormat="1" x14ac:dyDescent="0.25">
      <c r="B1148" s="6"/>
      <c r="C1148" s="7"/>
      <c r="D1148"/>
      <c r="E1148"/>
      <c r="F1148"/>
      <c r="G1148"/>
      <c r="H1148"/>
      <c r="I1148"/>
      <c r="J1148"/>
      <c r="K1148"/>
      <c r="L1148"/>
    </row>
    <row r="1149" spans="2:12" s="2" customFormat="1" x14ac:dyDescent="0.25">
      <c r="B1149" s="6"/>
      <c r="C1149" s="7"/>
      <c r="D1149"/>
      <c r="E1149"/>
      <c r="F1149"/>
      <c r="G1149"/>
      <c r="H1149"/>
      <c r="I1149"/>
      <c r="J1149"/>
      <c r="K1149"/>
      <c r="L1149"/>
    </row>
    <row r="1150" spans="2:12" s="2" customFormat="1" x14ac:dyDescent="0.25">
      <c r="B1150" s="6"/>
      <c r="C1150" s="7"/>
      <c r="D1150"/>
      <c r="E1150"/>
      <c r="F1150"/>
      <c r="G1150"/>
      <c r="H1150"/>
      <c r="I1150"/>
      <c r="J1150"/>
      <c r="K1150"/>
      <c r="L1150"/>
    </row>
    <row r="1151" spans="2:12" s="2" customFormat="1" x14ac:dyDescent="0.25">
      <c r="B1151" s="6"/>
      <c r="C1151" s="7"/>
      <c r="D1151"/>
      <c r="E1151"/>
      <c r="F1151"/>
      <c r="G1151"/>
      <c r="H1151"/>
      <c r="I1151"/>
      <c r="J1151"/>
      <c r="K1151"/>
      <c r="L1151"/>
    </row>
    <row r="1152" spans="2:12" s="2" customFormat="1" x14ac:dyDescent="0.25">
      <c r="B1152" s="6"/>
      <c r="C1152" s="7"/>
      <c r="D1152"/>
      <c r="E1152"/>
      <c r="F1152"/>
      <c r="G1152"/>
      <c r="H1152"/>
      <c r="I1152"/>
      <c r="J1152"/>
      <c r="K1152"/>
      <c r="L1152"/>
    </row>
    <row r="1153" spans="2:12" s="2" customFormat="1" x14ac:dyDescent="0.25">
      <c r="B1153" s="6"/>
      <c r="C1153" s="7"/>
      <c r="D1153"/>
      <c r="E1153"/>
      <c r="F1153"/>
      <c r="G1153"/>
      <c r="H1153"/>
      <c r="I1153"/>
      <c r="J1153"/>
      <c r="K1153"/>
      <c r="L1153"/>
    </row>
    <row r="1154" spans="2:12" s="2" customFormat="1" x14ac:dyDescent="0.25">
      <c r="B1154" s="6"/>
      <c r="C1154" s="7"/>
      <c r="D1154"/>
      <c r="E1154"/>
      <c r="F1154"/>
      <c r="G1154"/>
      <c r="H1154"/>
      <c r="I1154"/>
      <c r="J1154"/>
      <c r="K1154"/>
      <c r="L1154"/>
    </row>
    <row r="1155" spans="2:12" s="2" customFormat="1" x14ac:dyDescent="0.25">
      <c r="B1155" s="6"/>
      <c r="C1155" s="7"/>
      <c r="D1155"/>
      <c r="E1155"/>
      <c r="F1155"/>
      <c r="G1155"/>
      <c r="H1155"/>
      <c r="I1155"/>
      <c r="J1155"/>
      <c r="K1155"/>
      <c r="L1155"/>
    </row>
    <row r="1156" spans="2:12" s="2" customFormat="1" x14ac:dyDescent="0.25">
      <c r="B1156" s="6"/>
      <c r="C1156" s="7"/>
      <c r="D1156"/>
      <c r="E1156"/>
      <c r="F1156"/>
      <c r="G1156"/>
      <c r="H1156"/>
      <c r="I1156"/>
      <c r="J1156"/>
      <c r="K1156"/>
      <c r="L1156"/>
    </row>
    <row r="1157" spans="2:12" s="2" customFormat="1" x14ac:dyDescent="0.25">
      <c r="B1157" s="6"/>
      <c r="C1157" s="7"/>
      <c r="D1157"/>
      <c r="E1157"/>
      <c r="F1157"/>
      <c r="G1157"/>
      <c r="H1157"/>
      <c r="I1157"/>
      <c r="J1157"/>
      <c r="K1157"/>
      <c r="L1157"/>
    </row>
    <row r="1158" spans="2:12" s="2" customFormat="1" x14ac:dyDescent="0.25">
      <c r="B1158" s="6"/>
      <c r="C1158" s="7"/>
      <c r="D1158"/>
      <c r="E1158"/>
      <c r="F1158"/>
      <c r="G1158"/>
      <c r="H1158"/>
      <c r="I1158"/>
      <c r="J1158"/>
      <c r="K1158"/>
      <c r="L1158"/>
    </row>
    <row r="1159" spans="2:12" s="2" customFormat="1" x14ac:dyDescent="0.25">
      <c r="B1159" s="6"/>
      <c r="C1159" s="7"/>
      <c r="D1159"/>
      <c r="E1159"/>
      <c r="F1159"/>
      <c r="G1159"/>
      <c r="H1159"/>
      <c r="I1159"/>
      <c r="J1159"/>
      <c r="K1159"/>
      <c r="L1159"/>
    </row>
    <row r="1160" spans="2:12" s="2" customFormat="1" x14ac:dyDescent="0.25">
      <c r="B1160" s="6"/>
      <c r="C1160" s="7"/>
      <c r="D1160"/>
      <c r="E1160"/>
      <c r="F1160"/>
      <c r="G1160"/>
      <c r="H1160"/>
      <c r="I1160"/>
      <c r="J1160"/>
      <c r="K1160"/>
      <c r="L1160"/>
    </row>
    <row r="1161" spans="2:12" s="2" customFormat="1" x14ac:dyDescent="0.25">
      <c r="B1161" s="6"/>
      <c r="C1161" s="7"/>
      <c r="D1161"/>
      <c r="E1161"/>
      <c r="F1161"/>
      <c r="G1161"/>
      <c r="H1161"/>
      <c r="I1161"/>
      <c r="J1161"/>
      <c r="K1161"/>
      <c r="L1161"/>
    </row>
    <row r="1162" spans="2:12" s="2" customFormat="1" x14ac:dyDescent="0.25">
      <c r="B1162" s="6"/>
      <c r="C1162" s="7"/>
      <c r="D1162"/>
      <c r="E1162"/>
      <c r="F1162"/>
      <c r="G1162"/>
      <c r="H1162"/>
      <c r="I1162"/>
      <c r="J1162"/>
      <c r="K1162"/>
      <c r="L1162"/>
    </row>
    <row r="1163" spans="2:12" s="2" customFormat="1" x14ac:dyDescent="0.25">
      <c r="B1163" s="6"/>
      <c r="C1163" s="7"/>
      <c r="D1163"/>
      <c r="E1163"/>
      <c r="F1163"/>
      <c r="G1163"/>
      <c r="H1163"/>
      <c r="I1163"/>
      <c r="J1163"/>
      <c r="K1163"/>
      <c r="L1163"/>
    </row>
    <row r="1164" spans="2:12" s="2" customFormat="1" x14ac:dyDescent="0.25">
      <c r="B1164" s="6"/>
      <c r="C1164" s="7"/>
      <c r="D1164"/>
      <c r="E1164"/>
      <c r="F1164"/>
      <c r="G1164"/>
      <c r="H1164"/>
      <c r="I1164"/>
      <c r="J1164"/>
      <c r="K1164"/>
      <c r="L1164"/>
    </row>
    <row r="1165" spans="2:12" s="2" customFormat="1" x14ac:dyDescent="0.25">
      <c r="B1165" s="6"/>
      <c r="C1165" s="7"/>
      <c r="D1165"/>
      <c r="E1165"/>
      <c r="F1165"/>
      <c r="G1165"/>
      <c r="H1165"/>
      <c r="I1165"/>
      <c r="J1165"/>
      <c r="K1165"/>
      <c r="L1165"/>
    </row>
    <row r="1166" spans="2:12" s="2" customFormat="1" x14ac:dyDescent="0.25">
      <c r="B1166" s="6"/>
      <c r="C1166" s="7"/>
      <c r="D1166"/>
      <c r="E1166"/>
      <c r="F1166"/>
      <c r="G1166"/>
      <c r="H1166"/>
      <c r="I1166"/>
      <c r="J1166"/>
      <c r="K1166"/>
      <c r="L1166"/>
    </row>
    <row r="1167" spans="2:12" s="2" customFormat="1" x14ac:dyDescent="0.25">
      <c r="B1167" s="6"/>
      <c r="C1167" s="7"/>
      <c r="D1167"/>
      <c r="E1167"/>
      <c r="F1167"/>
      <c r="G1167"/>
      <c r="H1167"/>
      <c r="I1167"/>
      <c r="J1167"/>
      <c r="K1167"/>
      <c r="L1167"/>
    </row>
    <row r="1168" spans="2:12" s="2" customFormat="1" x14ac:dyDescent="0.25">
      <c r="B1168" s="6"/>
      <c r="C1168" s="7"/>
      <c r="D1168"/>
      <c r="E1168"/>
      <c r="F1168"/>
      <c r="G1168"/>
      <c r="H1168"/>
      <c r="I1168"/>
      <c r="J1168"/>
      <c r="K1168"/>
      <c r="L1168"/>
    </row>
    <row r="1169" spans="2:12" s="2" customFormat="1" x14ac:dyDescent="0.25">
      <c r="B1169" s="6"/>
      <c r="C1169" s="7"/>
      <c r="D1169"/>
      <c r="E1169"/>
      <c r="F1169"/>
      <c r="G1169"/>
      <c r="H1169"/>
      <c r="I1169"/>
      <c r="J1169"/>
      <c r="K1169"/>
      <c r="L1169"/>
    </row>
    <row r="1170" spans="2:12" s="2" customFormat="1" x14ac:dyDescent="0.25">
      <c r="B1170" s="6"/>
      <c r="C1170" s="7"/>
      <c r="D1170"/>
      <c r="E1170"/>
      <c r="F1170"/>
      <c r="G1170"/>
      <c r="H1170"/>
      <c r="I1170"/>
      <c r="J1170"/>
      <c r="K1170"/>
      <c r="L1170"/>
    </row>
    <row r="1171" spans="2:12" s="2" customFormat="1" x14ac:dyDescent="0.25">
      <c r="B1171" s="6"/>
      <c r="C1171" s="7"/>
      <c r="D1171"/>
      <c r="E1171"/>
      <c r="F1171"/>
      <c r="G1171"/>
      <c r="H1171"/>
      <c r="I1171"/>
      <c r="J1171"/>
      <c r="K1171"/>
      <c r="L1171"/>
    </row>
    <row r="1172" spans="2:12" s="2" customFormat="1" x14ac:dyDescent="0.25">
      <c r="B1172" s="6"/>
      <c r="C1172" s="7"/>
      <c r="D1172"/>
      <c r="E1172"/>
      <c r="F1172"/>
      <c r="G1172"/>
      <c r="H1172"/>
      <c r="I1172"/>
      <c r="J1172"/>
      <c r="K1172"/>
      <c r="L1172"/>
    </row>
    <row r="1173" spans="2:12" s="2" customFormat="1" x14ac:dyDescent="0.25">
      <c r="B1173" s="6"/>
      <c r="C1173" s="7"/>
      <c r="D1173"/>
      <c r="E1173"/>
      <c r="F1173"/>
      <c r="G1173"/>
      <c r="H1173"/>
      <c r="I1173"/>
      <c r="J1173"/>
      <c r="K1173"/>
      <c r="L1173"/>
    </row>
    <row r="1174" spans="2:12" s="2" customFormat="1" x14ac:dyDescent="0.25">
      <c r="B1174" s="6"/>
      <c r="C1174" s="7"/>
      <c r="D1174"/>
      <c r="E1174"/>
      <c r="F1174"/>
      <c r="G1174"/>
      <c r="H1174"/>
      <c r="I1174"/>
      <c r="J1174"/>
      <c r="K1174"/>
      <c r="L1174"/>
    </row>
    <row r="1175" spans="2:12" s="2" customFormat="1" x14ac:dyDescent="0.25">
      <c r="B1175" s="6"/>
      <c r="C1175" s="7"/>
      <c r="D1175"/>
      <c r="E1175"/>
      <c r="F1175"/>
      <c r="G1175"/>
      <c r="H1175"/>
      <c r="I1175"/>
      <c r="J1175"/>
      <c r="K1175"/>
      <c r="L1175"/>
    </row>
    <row r="1176" spans="2:12" s="2" customFormat="1" x14ac:dyDescent="0.25">
      <c r="B1176" s="6"/>
      <c r="C1176" s="7"/>
      <c r="D1176"/>
      <c r="E1176"/>
      <c r="F1176"/>
      <c r="G1176"/>
      <c r="H1176"/>
      <c r="I1176"/>
      <c r="J1176"/>
      <c r="K1176"/>
      <c r="L1176"/>
    </row>
    <row r="1177" spans="2:12" s="2" customFormat="1" x14ac:dyDescent="0.25">
      <c r="B1177" s="6"/>
      <c r="C1177" s="7"/>
      <c r="D1177"/>
      <c r="E1177"/>
      <c r="F1177"/>
      <c r="G1177"/>
      <c r="H1177"/>
      <c r="I1177"/>
      <c r="J1177"/>
      <c r="K1177"/>
      <c r="L1177"/>
    </row>
    <row r="1178" spans="2:12" s="2" customFormat="1" x14ac:dyDescent="0.25">
      <c r="B1178" s="6"/>
      <c r="C1178" s="7"/>
      <c r="D1178"/>
      <c r="E1178"/>
      <c r="F1178"/>
      <c r="G1178"/>
      <c r="H1178"/>
      <c r="I1178"/>
      <c r="J1178"/>
      <c r="K1178"/>
      <c r="L1178"/>
    </row>
    <row r="1179" spans="2:12" s="2" customFormat="1" x14ac:dyDescent="0.25">
      <c r="B1179" s="6"/>
      <c r="C1179" s="7"/>
      <c r="D1179"/>
      <c r="E1179"/>
      <c r="F1179"/>
      <c r="G1179"/>
      <c r="H1179"/>
      <c r="I1179"/>
      <c r="J1179"/>
      <c r="K1179"/>
      <c r="L1179"/>
    </row>
    <row r="1180" spans="2:12" s="2" customFormat="1" x14ac:dyDescent="0.25">
      <c r="B1180" s="6"/>
      <c r="C1180" s="7"/>
      <c r="D1180"/>
      <c r="E1180"/>
      <c r="F1180"/>
      <c r="G1180"/>
      <c r="H1180"/>
      <c r="I1180"/>
      <c r="J1180"/>
      <c r="K1180"/>
      <c r="L1180"/>
    </row>
    <row r="1181" spans="2:12" s="2" customFormat="1" x14ac:dyDescent="0.25">
      <c r="B1181" s="6"/>
      <c r="C1181" s="7"/>
      <c r="D1181"/>
      <c r="E1181"/>
      <c r="F1181"/>
      <c r="G1181"/>
      <c r="H1181"/>
      <c r="I1181"/>
      <c r="J1181"/>
      <c r="K1181"/>
      <c r="L1181"/>
    </row>
    <row r="1182" spans="2:12" s="2" customFormat="1" x14ac:dyDescent="0.25">
      <c r="B1182" s="6"/>
      <c r="C1182" s="7"/>
      <c r="D1182"/>
      <c r="E1182"/>
      <c r="F1182"/>
      <c r="G1182"/>
      <c r="H1182"/>
      <c r="I1182"/>
      <c r="J1182"/>
      <c r="K1182"/>
      <c r="L1182"/>
    </row>
    <row r="1183" spans="2:12" s="2" customFormat="1" x14ac:dyDescent="0.25">
      <c r="B1183" s="6"/>
      <c r="C1183" s="7"/>
      <c r="D1183"/>
      <c r="E1183"/>
      <c r="F1183"/>
      <c r="G1183"/>
      <c r="H1183"/>
      <c r="I1183"/>
      <c r="J1183"/>
      <c r="K1183"/>
      <c r="L1183"/>
    </row>
    <row r="1184" spans="2:12" s="2" customFormat="1" x14ac:dyDescent="0.25">
      <c r="B1184" s="6"/>
      <c r="C1184" s="7"/>
      <c r="D1184"/>
      <c r="E1184"/>
      <c r="F1184"/>
      <c r="G1184"/>
      <c r="H1184"/>
      <c r="I1184"/>
      <c r="J1184"/>
      <c r="K1184"/>
      <c r="L1184"/>
    </row>
    <row r="1185" spans="2:12" s="2" customFormat="1" x14ac:dyDescent="0.25">
      <c r="B1185" s="6"/>
      <c r="C1185" s="7"/>
      <c r="D1185"/>
      <c r="E1185"/>
      <c r="F1185"/>
      <c r="G1185"/>
      <c r="H1185"/>
      <c r="I1185"/>
      <c r="J1185"/>
      <c r="K1185"/>
      <c r="L1185"/>
    </row>
    <row r="1186" spans="2:12" s="2" customFormat="1" x14ac:dyDescent="0.25">
      <c r="B1186" s="6"/>
      <c r="C1186" s="7"/>
      <c r="D1186"/>
      <c r="E1186"/>
      <c r="F1186"/>
      <c r="G1186"/>
      <c r="H1186"/>
      <c r="I1186"/>
      <c r="J1186"/>
      <c r="K1186"/>
      <c r="L1186"/>
    </row>
    <row r="1187" spans="2:12" s="2" customFormat="1" x14ac:dyDescent="0.25">
      <c r="B1187" s="6"/>
      <c r="C1187" s="7"/>
      <c r="D1187"/>
      <c r="E1187"/>
      <c r="F1187"/>
      <c r="G1187"/>
      <c r="H1187"/>
      <c r="I1187"/>
      <c r="J1187"/>
      <c r="K1187"/>
      <c r="L1187"/>
    </row>
    <row r="1188" spans="2:12" s="2" customFormat="1" x14ac:dyDescent="0.25">
      <c r="B1188" s="6"/>
      <c r="C1188" s="7"/>
      <c r="D1188"/>
      <c r="E1188"/>
      <c r="F1188"/>
      <c r="G1188"/>
      <c r="H1188"/>
      <c r="I1188"/>
      <c r="J1188"/>
      <c r="K1188"/>
      <c r="L1188"/>
    </row>
    <row r="1189" spans="2:12" s="2" customFormat="1" x14ac:dyDescent="0.25">
      <c r="B1189" s="6"/>
      <c r="C1189" s="7"/>
      <c r="D1189"/>
      <c r="E1189"/>
      <c r="F1189"/>
      <c r="G1189"/>
      <c r="H1189"/>
      <c r="I1189"/>
      <c r="J1189"/>
      <c r="K1189"/>
      <c r="L1189"/>
    </row>
    <row r="1190" spans="2:12" s="2" customFormat="1" x14ac:dyDescent="0.25">
      <c r="B1190" s="6"/>
      <c r="C1190" s="7"/>
      <c r="D1190"/>
      <c r="E1190"/>
      <c r="F1190"/>
      <c r="G1190"/>
      <c r="H1190"/>
      <c r="I1190"/>
      <c r="J1190"/>
      <c r="K1190"/>
      <c r="L1190"/>
    </row>
    <row r="1191" spans="2:12" s="2" customFormat="1" x14ac:dyDescent="0.25">
      <c r="B1191" s="6"/>
      <c r="C1191" s="7"/>
      <c r="D1191"/>
      <c r="E1191"/>
      <c r="F1191"/>
      <c r="G1191"/>
      <c r="H1191"/>
      <c r="I1191"/>
      <c r="J1191"/>
      <c r="K1191"/>
      <c r="L1191"/>
    </row>
    <row r="1192" spans="2:12" s="2" customFormat="1" x14ac:dyDescent="0.25">
      <c r="B1192" s="6"/>
      <c r="C1192" s="7"/>
      <c r="D1192"/>
      <c r="E1192"/>
      <c r="F1192"/>
      <c r="G1192"/>
      <c r="H1192"/>
      <c r="I1192"/>
      <c r="J1192"/>
      <c r="K1192"/>
      <c r="L1192"/>
    </row>
    <row r="1193" spans="2:12" s="2" customFormat="1" x14ac:dyDescent="0.25">
      <c r="B1193" s="6"/>
      <c r="C1193" s="7"/>
      <c r="D1193"/>
      <c r="E1193"/>
      <c r="F1193"/>
      <c r="G1193"/>
      <c r="H1193"/>
      <c r="I1193"/>
      <c r="J1193"/>
      <c r="K1193"/>
      <c r="L1193"/>
    </row>
    <row r="1194" spans="2:12" s="2" customFormat="1" x14ac:dyDescent="0.25">
      <c r="B1194" s="6"/>
      <c r="C1194" s="7"/>
      <c r="D1194"/>
      <c r="E1194"/>
      <c r="F1194"/>
      <c r="G1194"/>
      <c r="H1194"/>
      <c r="I1194"/>
      <c r="J1194"/>
      <c r="K1194"/>
      <c r="L1194"/>
    </row>
    <row r="1195" spans="2:12" s="2" customFormat="1" x14ac:dyDescent="0.25">
      <c r="B1195" s="6"/>
      <c r="C1195" s="7"/>
      <c r="D1195"/>
      <c r="E1195"/>
      <c r="F1195"/>
      <c r="G1195"/>
      <c r="H1195"/>
      <c r="I1195"/>
      <c r="J1195"/>
      <c r="K1195"/>
      <c r="L1195"/>
    </row>
    <row r="1196" spans="2:12" s="2" customFormat="1" x14ac:dyDescent="0.25">
      <c r="B1196" s="6"/>
      <c r="C1196" s="7"/>
      <c r="D1196"/>
      <c r="E1196"/>
      <c r="F1196"/>
      <c r="G1196"/>
      <c r="H1196"/>
      <c r="I1196"/>
      <c r="J1196"/>
      <c r="K1196"/>
      <c r="L1196"/>
    </row>
    <row r="1197" spans="2:12" s="2" customFormat="1" x14ac:dyDescent="0.25">
      <c r="B1197" s="6"/>
      <c r="C1197" s="7"/>
      <c r="D1197"/>
      <c r="E1197"/>
      <c r="F1197"/>
      <c r="G1197"/>
      <c r="H1197"/>
      <c r="I1197"/>
      <c r="J1197"/>
      <c r="K1197"/>
      <c r="L1197"/>
    </row>
    <row r="1198" spans="2:12" s="2" customFormat="1" x14ac:dyDescent="0.25">
      <c r="B1198" s="6"/>
      <c r="C1198" s="7"/>
      <c r="D1198"/>
      <c r="E1198"/>
      <c r="F1198"/>
      <c r="G1198"/>
      <c r="H1198"/>
      <c r="I1198"/>
      <c r="J1198"/>
      <c r="K1198"/>
      <c r="L1198"/>
    </row>
    <row r="1199" spans="2:12" s="2" customFormat="1" x14ac:dyDescent="0.25">
      <c r="B1199" s="6"/>
      <c r="C1199" s="7"/>
      <c r="D1199"/>
      <c r="E1199"/>
      <c r="F1199"/>
      <c r="G1199"/>
      <c r="H1199"/>
      <c r="I1199"/>
      <c r="J1199"/>
      <c r="K1199"/>
      <c r="L1199"/>
    </row>
    <row r="1200" spans="2:12" s="2" customFormat="1" x14ac:dyDescent="0.25">
      <c r="B1200" s="6"/>
      <c r="C1200" s="7"/>
      <c r="D1200"/>
      <c r="E1200"/>
      <c r="F1200"/>
      <c r="G1200"/>
      <c r="H1200"/>
      <c r="I1200"/>
      <c r="J1200"/>
      <c r="K1200"/>
      <c r="L1200"/>
    </row>
    <row r="1201" spans="2:12" s="2" customFormat="1" x14ac:dyDescent="0.25">
      <c r="B1201" s="6"/>
      <c r="C1201" s="7"/>
      <c r="D1201"/>
      <c r="E1201"/>
      <c r="F1201"/>
      <c r="G1201"/>
      <c r="H1201"/>
      <c r="I1201"/>
      <c r="J1201"/>
      <c r="K1201"/>
      <c r="L1201"/>
    </row>
    <row r="1202" spans="2:12" s="2" customFormat="1" x14ac:dyDescent="0.25">
      <c r="B1202" s="6"/>
      <c r="C1202" s="7"/>
      <c r="D1202"/>
      <c r="E1202"/>
      <c r="F1202"/>
      <c r="G1202"/>
      <c r="H1202"/>
      <c r="I1202"/>
      <c r="J1202"/>
      <c r="K1202"/>
      <c r="L1202"/>
    </row>
    <row r="1203" spans="2:12" s="2" customFormat="1" x14ac:dyDescent="0.25">
      <c r="B1203" s="6"/>
      <c r="C1203" s="7"/>
      <c r="D1203"/>
      <c r="E1203"/>
      <c r="F1203"/>
      <c r="G1203"/>
      <c r="H1203"/>
      <c r="I1203"/>
      <c r="J1203"/>
      <c r="K1203"/>
      <c r="L1203"/>
    </row>
    <row r="1204" spans="2:12" s="2" customFormat="1" x14ac:dyDescent="0.25">
      <c r="B1204" s="6"/>
      <c r="C1204" s="7"/>
      <c r="D1204"/>
      <c r="E1204"/>
      <c r="F1204"/>
      <c r="G1204"/>
      <c r="H1204"/>
      <c r="I1204"/>
      <c r="J1204"/>
      <c r="K1204"/>
      <c r="L1204"/>
    </row>
    <row r="1205" spans="2:12" s="2" customFormat="1" x14ac:dyDescent="0.25">
      <c r="B1205" s="6"/>
      <c r="C1205" s="7"/>
      <c r="D1205"/>
      <c r="E1205"/>
      <c r="F1205"/>
      <c r="G1205"/>
      <c r="H1205"/>
      <c r="I1205"/>
      <c r="J1205"/>
      <c r="K1205"/>
      <c r="L1205"/>
    </row>
    <row r="1206" spans="2:12" s="2" customFormat="1" x14ac:dyDescent="0.25">
      <c r="B1206" s="6"/>
      <c r="C1206" s="7"/>
      <c r="D1206"/>
      <c r="E1206"/>
      <c r="F1206"/>
      <c r="G1206"/>
      <c r="H1206"/>
      <c r="I1206"/>
      <c r="J1206"/>
      <c r="K1206"/>
      <c r="L1206"/>
    </row>
    <row r="1207" spans="2:12" s="2" customFormat="1" x14ac:dyDescent="0.25">
      <c r="B1207" s="6"/>
      <c r="C1207" s="7"/>
      <c r="D1207"/>
      <c r="E1207"/>
      <c r="F1207"/>
      <c r="G1207"/>
      <c r="H1207"/>
      <c r="I1207"/>
      <c r="J1207"/>
      <c r="K1207"/>
      <c r="L1207"/>
    </row>
    <row r="1208" spans="2:12" s="2" customFormat="1" x14ac:dyDescent="0.25">
      <c r="B1208" s="6"/>
      <c r="C1208" s="7"/>
      <c r="D1208"/>
      <c r="E1208"/>
      <c r="F1208"/>
      <c r="G1208"/>
      <c r="H1208"/>
      <c r="I1208"/>
      <c r="J1208"/>
      <c r="K1208"/>
      <c r="L1208"/>
    </row>
    <row r="1209" spans="2:12" s="2" customFormat="1" x14ac:dyDescent="0.25">
      <c r="B1209" s="6"/>
      <c r="C1209" s="7"/>
      <c r="D1209"/>
      <c r="E1209"/>
      <c r="F1209"/>
      <c r="G1209"/>
      <c r="H1209"/>
      <c r="I1209"/>
      <c r="J1209"/>
      <c r="K1209"/>
      <c r="L1209"/>
    </row>
    <row r="1210" spans="2:12" s="2" customFormat="1" x14ac:dyDescent="0.25">
      <c r="B1210" s="6"/>
      <c r="C1210" s="7"/>
      <c r="D1210"/>
      <c r="E1210"/>
      <c r="F1210"/>
      <c r="G1210"/>
      <c r="H1210"/>
      <c r="I1210"/>
      <c r="J1210"/>
      <c r="K1210"/>
      <c r="L1210"/>
    </row>
    <row r="1211" spans="2:12" s="2" customFormat="1" x14ac:dyDescent="0.25">
      <c r="B1211" s="6"/>
      <c r="C1211" s="7"/>
      <c r="D1211"/>
      <c r="E1211"/>
      <c r="F1211"/>
      <c r="G1211"/>
      <c r="H1211"/>
      <c r="I1211"/>
      <c r="J1211"/>
      <c r="K1211"/>
      <c r="L1211"/>
    </row>
    <row r="1212" spans="2:12" s="2" customFormat="1" x14ac:dyDescent="0.25">
      <c r="B1212" s="6"/>
      <c r="C1212" s="7"/>
      <c r="D1212"/>
      <c r="E1212"/>
      <c r="F1212"/>
      <c r="G1212"/>
      <c r="H1212"/>
      <c r="I1212"/>
      <c r="J1212"/>
      <c r="K1212"/>
      <c r="L1212"/>
    </row>
    <row r="1213" spans="2:12" s="2" customFormat="1" x14ac:dyDescent="0.25">
      <c r="B1213" s="6"/>
      <c r="C1213" s="7"/>
      <c r="D1213"/>
      <c r="E1213"/>
      <c r="F1213"/>
      <c r="G1213"/>
      <c r="H1213"/>
      <c r="I1213"/>
      <c r="J1213"/>
      <c r="K1213"/>
      <c r="L1213"/>
    </row>
    <row r="1214" spans="2:12" s="2" customFormat="1" x14ac:dyDescent="0.25">
      <c r="B1214" s="6"/>
      <c r="C1214" s="7"/>
      <c r="D1214"/>
      <c r="E1214"/>
      <c r="F1214"/>
      <c r="G1214"/>
      <c r="H1214"/>
      <c r="I1214"/>
      <c r="J1214"/>
      <c r="K1214"/>
      <c r="L1214"/>
    </row>
    <row r="1215" spans="2:12" s="2" customFormat="1" x14ac:dyDescent="0.25">
      <c r="B1215" s="6"/>
      <c r="C1215" s="7"/>
      <c r="D1215"/>
      <c r="E1215"/>
      <c r="F1215"/>
      <c r="G1215"/>
      <c r="H1215"/>
      <c r="I1215"/>
      <c r="J1215"/>
      <c r="K1215"/>
      <c r="L1215"/>
    </row>
    <row r="1216" spans="2:12" s="2" customFormat="1" x14ac:dyDescent="0.25">
      <c r="B1216" s="6"/>
      <c r="C1216" s="7"/>
      <c r="D1216"/>
      <c r="E1216"/>
      <c r="F1216"/>
      <c r="G1216"/>
      <c r="H1216"/>
      <c r="I1216"/>
      <c r="J1216"/>
      <c r="K1216"/>
      <c r="L1216"/>
    </row>
    <row r="1217" spans="2:12" s="2" customFormat="1" x14ac:dyDescent="0.25">
      <c r="B1217" s="6"/>
      <c r="C1217" s="7"/>
      <c r="D1217"/>
      <c r="E1217"/>
      <c r="F1217"/>
      <c r="G1217"/>
      <c r="H1217"/>
      <c r="I1217"/>
      <c r="J1217"/>
      <c r="K1217"/>
      <c r="L1217"/>
    </row>
    <row r="1218" spans="2:12" s="2" customFormat="1" x14ac:dyDescent="0.25">
      <c r="B1218" s="6"/>
      <c r="C1218" s="7"/>
      <c r="D1218"/>
      <c r="E1218"/>
      <c r="F1218"/>
      <c r="G1218"/>
      <c r="H1218"/>
      <c r="I1218"/>
      <c r="J1218"/>
      <c r="K1218"/>
      <c r="L1218"/>
    </row>
    <row r="1219" spans="2:12" s="2" customFormat="1" x14ac:dyDescent="0.25">
      <c r="B1219" s="6"/>
      <c r="C1219" s="7"/>
      <c r="D1219"/>
      <c r="E1219"/>
      <c r="F1219"/>
      <c r="G1219"/>
      <c r="H1219"/>
      <c r="I1219"/>
      <c r="J1219"/>
      <c r="K1219"/>
      <c r="L1219"/>
    </row>
    <row r="1220" spans="2:12" s="2" customFormat="1" x14ac:dyDescent="0.25">
      <c r="B1220" s="6"/>
      <c r="C1220" s="7"/>
      <c r="D1220"/>
      <c r="E1220"/>
      <c r="F1220"/>
      <c r="G1220"/>
      <c r="H1220"/>
      <c r="I1220"/>
      <c r="J1220"/>
      <c r="K1220"/>
      <c r="L1220"/>
    </row>
    <row r="1221" spans="2:12" s="2" customFormat="1" x14ac:dyDescent="0.25">
      <c r="B1221" s="6"/>
      <c r="C1221" s="7"/>
      <c r="D1221"/>
      <c r="E1221"/>
      <c r="F1221"/>
      <c r="G1221"/>
      <c r="H1221"/>
      <c r="I1221"/>
      <c r="J1221"/>
      <c r="K1221"/>
      <c r="L1221"/>
    </row>
    <row r="1222" spans="2:12" s="2" customFormat="1" x14ac:dyDescent="0.25">
      <c r="B1222" s="6"/>
      <c r="C1222" s="7"/>
      <c r="D1222"/>
      <c r="E1222"/>
      <c r="F1222"/>
      <c r="G1222"/>
      <c r="H1222"/>
      <c r="I1222"/>
      <c r="J1222"/>
      <c r="K1222"/>
      <c r="L1222"/>
    </row>
    <row r="1223" spans="2:12" s="2" customFormat="1" x14ac:dyDescent="0.25">
      <c r="B1223" s="6"/>
      <c r="C1223" s="7"/>
      <c r="D1223"/>
      <c r="E1223"/>
      <c r="F1223"/>
      <c r="G1223"/>
      <c r="H1223"/>
      <c r="I1223"/>
      <c r="J1223"/>
      <c r="K1223"/>
      <c r="L1223"/>
    </row>
    <row r="1224" spans="2:12" s="2" customFormat="1" x14ac:dyDescent="0.25">
      <c r="B1224" s="6"/>
      <c r="C1224" s="7"/>
      <c r="D1224"/>
      <c r="E1224"/>
      <c r="F1224"/>
      <c r="G1224"/>
      <c r="H1224"/>
      <c r="I1224"/>
      <c r="J1224"/>
      <c r="K1224"/>
      <c r="L1224"/>
    </row>
    <row r="1225" spans="2:12" s="2" customFormat="1" x14ac:dyDescent="0.25">
      <c r="B1225" s="6"/>
      <c r="C1225" s="7"/>
      <c r="D1225"/>
      <c r="E1225"/>
      <c r="F1225"/>
      <c r="G1225"/>
      <c r="H1225"/>
      <c r="I1225"/>
      <c r="J1225"/>
      <c r="K1225"/>
      <c r="L1225"/>
    </row>
    <row r="1226" spans="2:12" s="2" customFormat="1" x14ac:dyDescent="0.25">
      <c r="B1226" s="6"/>
      <c r="C1226" s="7"/>
      <c r="D1226"/>
      <c r="E1226"/>
      <c r="F1226"/>
      <c r="G1226"/>
      <c r="H1226"/>
      <c r="I1226"/>
      <c r="J1226"/>
      <c r="K1226"/>
      <c r="L1226"/>
    </row>
    <row r="1227" spans="2:12" s="2" customFormat="1" x14ac:dyDescent="0.25">
      <c r="B1227" s="6"/>
      <c r="C1227" s="7"/>
      <c r="D1227"/>
      <c r="E1227"/>
      <c r="F1227"/>
      <c r="G1227"/>
      <c r="H1227"/>
      <c r="I1227"/>
      <c r="J1227"/>
      <c r="K1227"/>
      <c r="L1227"/>
    </row>
    <row r="1228" spans="2:12" s="2" customFormat="1" x14ac:dyDescent="0.25">
      <c r="B1228" s="6"/>
      <c r="C1228" s="7"/>
      <c r="D1228"/>
      <c r="E1228"/>
      <c r="F1228"/>
      <c r="G1228"/>
      <c r="H1228"/>
      <c r="I1228"/>
      <c r="J1228"/>
      <c r="K1228"/>
      <c r="L1228"/>
    </row>
    <row r="1229" spans="2:12" s="2" customFormat="1" x14ac:dyDescent="0.25">
      <c r="B1229" s="6"/>
      <c r="C1229" s="7"/>
      <c r="D1229"/>
      <c r="E1229"/>
      <c r="F1229"/>
      <c r="G1229"/>
      <c r="H1229"/>
      <c r="I1229"/>
      <c r="J1229"/>
      <c r="K1229"/>
      <c r="L1229"/>
    </row>
    <row r="1230" spans="2:12" s="2" customFormat="1" x14ac:dyDescent="0.25">
      <c r="B1230" s="6"/>
      <c r="C1230" s="7"/>
      <c r="D1230"/>
      <c r="E1230"/>
      <c r="F1230"/>
      <c r="G1230"/>
      <c r="H1230"/>
      <c r="I1230"/>
      <c r="J1230"/>
      <c r="K1230"/>
      <c r="L1230"/>
    </row>
    <row r="1231" spans="2:12" s="2" customFormat="1" x14ac:dyDescent="0.25">
      <c r="B1231" s="6"/>
      <c r="C1231" s="7"/>
      <c r="D1231"/>
      <c r="E1231"/>
      <c r="F1231"/>
      <c r="G1231"/>
      <c r="H1231"/>
      <c r="I1231"/>
      <c r="J1231"/>
      <c r="K1231"/>
      <c r="L1231"/>
    </row>
    <row r="1232" spans="2:12" s="2" customFormat="1" x14ac:dyDescent="0.25">
      <c r="B1232" s="6"/>
      <c r="C1232" s="7"/>
      <c r="D1232"/>
      <c r="E1232"/>
      <c r="F1232"/>
      <c r="G1232"/>
      <c r="H1232"/>
      <c r="I1232"/>
      <c r="J1232"/>
      <c r="K1232"/>
      <c r="L1232"/>
    </row>
    <row r="1233" spans="2:12" s="2" customFormat="1" x14ac:dyDescent="0.25">
      <c r="B1233" s="6"/>
      <c r="C1233" s="7"/>
      <c r="D1233"/>
      <c r="E1233"/>
      <c r="F1233"/>
      <c r="G1233"/>
      <c r="H1233"/>
      <c r="I1233"/>
      <c r="J1233"/>
      <c r="K1233"/>
      <c r="L1233"/>
    </row>
    <row r="1234" spans="2:12" s="2" customFormat="1" x14ac:dyDescent="0.25">
      <c r="B1234" s="6"/>
      <c r="C1234" s="7"/>
      <c r="D1234"/>
      <c r="E1234"/>
      <c r="F1234"/>
      <c r="G1234"/>
      <c r="H1234"/>
      <c r="I1234"/>
      <c r="J1234"/>
      <c r="K1234"/>
      <c r="L1234"/>
    </row>
    <row r="1235" spans="2:12" s="2" customFormat="1" x14ac:dyDescent="0.25">
      <c r="B1235" s="6"/>
      <c r="C1235" s="7"/>
      <c r="D1235"/>
      <c r="E1235"/>
      <c r="F1235"/>
      <c r="G1235"/>
      <c r="H1235"/>
      <c r="I1235"/>
      <c r="J1235"/>
      <c r="K1235"/>
      <c r="L1235"/>
    </row>
    <row r="1236" spans="2:12" s="2" customFormat="1" x14ac:dyDescent="0.25">
      <c r="B1236" s="6"/>
      <c r="C1236" s="7"/>
      <c r="D1236"/>
      <c r="E1236"/>
      <c r="F1236"/>
      <c r="G1236"/>
      <c r="H1236"/>
      <c r="I1236"/>
      <c r="J1236"/>
      <c r="K1236"/>
      <c r="L1236"/>
    </row>
    <row r="1237" spans="2:12" s="2" customFormat="1" x14ac:dyDescent="0.25">
      <c r="B1237" s="6"/>
      <c r="C1237" s="7"/>
      <c r="D1237"/>
      <c r="E1237"/>
      <c r="F1237"/>
      <c r="G1237"/>
      <c r="H1237"/>
      <c r="I1237"/>
      <c r="J1237"/>
      <c r="K1237"/>
      <c r="L1237"/>
    </row>
    <row r="1238" spans="2:12" s="2" customFormat="1" x14ac:dyDescent="0.25">
      <c r="B1238" s="6"/>
      <c r="C1238" s="7"/>
      <c r="D1238"/>
      <c r="E1238"/>
      <c r="F1238"/>
      <c r="G1238"/>
      <c r="H1238"/>
      <c r="I1238"/>
      <c r="J1238"/>
      <c r="K1238"/>
      <c r="L1238"/>
    </row>
    <row r="1239" spans="2:12" s="2" customFormat="1" x14ac:dyDescent="0.25">
      <c r="B1239" s="6"/>
      <c r="C1239" s="7"/>
      <c r="D1239"/>
      <c r="E1239"/>
      <c r="F1239"/>
      <c r="G1239"/>
      <c r="H1239"/>
      <c r="I1239"/>
      <c r="J1239"/>
      <c r="K1239"/>
      <c r="L1239"/>
    </row>
    <row r="1240" spans="2:12" s="2" customFormat="1" x14ac:dyDescent="0.25">
      <c r="B1240" s="6"/>
      <c r="C1240" s="7"/>
      <c r="D1240"/>
      <c r="E1240"/>
      <c r="F1240"/>
      <c r="G1240"/>
      <c r="H1240"/>
      <c r="I1240"/>
      <c r="J1240"/>
      <c r="K1240"/>
      <c r="L1240"/>
    </row>
    <row r="1241" spans="2:12" s="2" customFormat="1" x14ac:dyDescent="0.25">
      <c r="B1241" s="6"/>
      <c r="C1241" s="7"/>
      <c r="D1241"/>
      <c r="E1241"/>
      <c r="F1241"/>
      <c r="G1241"/>
      <c r="H1241"/>
      <c r="I1241"/>
      <c r="J1241"/>
      <c r="K1241"/>
      <c r="L1241"/>
    </row>
    <row r="1242" spans="2:12" s="2" customFormat="1" x14ac:dyDescent="0.25">
      <c r="B1242" s="6"/>
      <c r="C1242" s="7"/>
      <c r="D1242"/>
      <c r="E1242"/>
      <c r="F1242"/>
      <c r="G1242"/>
      <c r="H1242"/>
      <c r="I1242"/>
      <c r="J1242"/>
      <c r="K1242"/>
      <c r="L1242"/>
    </row>
    <row r="1243" spans="2:12" s="2" customFormat="1" x14ac:dyDescent="0.25">
      <c r="B1243" s="6"/>
      <c r="C1243" s="7"/>
      <c r="D1243"/>
      <c r="E1243"/>
      <c r="F1243"/>
      <c r="G1243"/>
      <c r="H1243"/>
      <c r="I1243"/>
      <c r="J1243"/>
      <c r="K1243"/>
      <c r="L1243"/>
    </row>
    <row r="1244" spans="2:12" s="2" customFormat="1" x14ac:dyDescent="0.25">
      <c r="B1244" s="6"/>
      <c r="C1244" s="7"/>
      <c r="D1244"/>
      <c r="E1244"/>
      <c r="F1244"/>
      <c r="G1244"/>
      <c r="H1244"/>
      <c r="I1244"/>
      <c r="J1244"/>
      <c r="K1244"/>
      <c r="L1244"/>
    </row>
    <row r="1245" spans="2:12" s="2" customFormat="1" x14ac:dyDescent="0.25">
      <c r="B1245" s="6"/>
      <c r="C1245" s="7"/>
      <c r="D1245"/>
      <c r="E1245"/>
      <c r="F1245"/>
      <c r="G1245"/>
      <c r="H1245"/>
      <c r="I1245"/>
      <c r="J1245"/>
      <c r="K1245"/>
      <c r="L1245"/>
    </row>
    <row r="1246" spans="2:12" s="2" customFormat="1" x14ac:dyDescent="0.25">
      <c r="B1246" s="6"/>
      <c r="C1246" s="7"/>
      <c r="D1246"/>
      <c r="E1246"/>
      <c r="F1246"/>
      <c r="G1246"/>
      <c r="H1246"/>
      <c r="I1246"/>
      <c r="J1246"/>
      <c r="K1246"/>
      <c r="L1246"/>
    </row>
    <row r="1247" spans="2:12" s="2" customFormat="1" x14ac:dyDescent="0.25">
      <c r="B1247" s="6"/>
      <c r="C1247" s="7"/>
      <c r="D1247"/>
      <c r="E1247"/>
      <c r="F1247"/>
      <c r="G1247"/>
      <c r="H1247"/>
      <c r="I1247"/>
      <c r="J1247"/>
      <c r="K1247"/>
      <c r="L1247"/>
    </row>
    <row r="1248" spans="2:12" s="2" customFormat="1" x14ac:dyDescent="0.25">
      <c r="B1248" s="6"/>
      <c r="C1248" s="7"/>
      <c r="D1248"/>
      <c r="E1248"/>
      <c r="F1248"/>
      <c r="G1248"/>
      <c r="H1248"/>
      <c r="I1248"/>
      <c r="J1248"/>
      <c r="K1248"/>
      <c r="L1248"/>
    </row>
    <row r="1249" spans="2:12" s="2" customFormat="1" x14ac:dyDescent="0.25">
      <c r="B1249" s="6"/>
      <c r="C1249" s="7"/>
      <c r="D1249"/>
      <c r="E1249"/>
      <c r="F1249"/>
      <c r="G1249"/>
      <c r="H1249"/>
      <c r="I1249"/>
      <c r="J1249"/>
      <c r="K1249"/>
      <c r="L1249"/>
    </row>
    <row r="1250" spans="2:12" s="2" customFormat="1" x14ac:dyDescent="0.25">
      <c r="B1250" s="6"/>
      <c r="C1250" s="7"/>
      <c r="D1250"/>
      <c r="E1250"/>
      <c r="F1250"/>
      <c r="G1250"/>
      <c r="H1250"/>
      <c r="I1250"/>
      <c r="J1250"/>
      <c r="K1250"/>
      <c r="L1250"/>
    </row>
    <row r="1251" spans="2:12" s="2" customFormat="1" x14ac:dyDescent="0.25">
      <c r="B1251" s="6"/>
      <c r="C1251" s="7"/>
      <c r="D1251"/>
      <c r="E1251"/>
      <c r="F1251"/>
      <c r="G1251"/>
      <c r="H1251"/>
      <c r="I1251"/>
      <c r="J1251"/>
      <c r="K1251"/>
      <c r="L1251"/>
    </row>
    <row r="1252" spans="2:12" s="2" customFormat="1" x14ac:dyDescent="0.25">
      <c r="B1252" s="6"/>
      <c r="C1252" s="7"/>
      <c r="D1252"/>
      <c r="E1252"/>
      <c r="F1252"/>
      <c r="G1252"/>
      <c r="H1252"/>
      <c r="I1252"/>
      <c r="J1252"/>
      <c r="K1252"/>
      <c r="L1252"/>
    </row>
    <row r="1253" spans="2:12" s="2" customFormat="1" x14ac:dyDescent="0.25">
      <c r="B1253" s="6"/>
      <c r="C1253" s="7"/>
      <c r="D1253"/>
      <c r="E1253"/>
      <c r="F1253"/>
      <c r="G1253"/>
      <c r="H1253"/>
      <c r="I1253"/>
      <c r="J1253"/>
      <c r="K1253"/>
      <c r="L1253"/>
    </row>
    <row r="1254" spans="2:12" s="2" customFormat="1" x14ac:dyDescent="0.25">
      <c r="B1254" s="6"/>
      <c r="C1254" s="7"/>
      <c r="D1254"/>
      <c r="E1254"/>
      <c r="F1254"/>
      <c r="G1254"/>
      <c r="H1254"/>
      <c r="I1254"/>
      <c r="J1254"/>
      <c r="K1254"/>
      <c r="L1254"/>
    </row>
    <row r="1255" spans="2:12" s="2" customFormat="1" x14ac:dyDescent="0.25">
      <c r="B1255" s="6"/>
      <c r="C1255" s="7"/>
      <c r="D1255"/>
      <c r="E1255"/>
      <c r="F1255"/>
      <c r="G1255"/>
      <c r="H1255"/>
      <c r="I1255"/>
      <c r="J1255"/>
      <c r="K1255"/>
      <c r="L1255"/>
    </row>
    <row r="1256" spans="2:12" s="2" customFormat="1" x14ac:dyDescent="0.25">
      <c r="B1256" s="6"/>
      <c r="C1256" s="7"/>
      <c r="D1256"/>
      <c r="E1256"/>
      <c r="F1256"/>
      <c r="G1256"/>
      <c r="H1256"/>
      <c r="I1256"/>
      <c r="J1256"/>
      <c r="K1256"/>
      <c r="L1256"/>
    </row>
    <row r="1257" spans="2:12" s="2" customFormat="1" x14ac:dyDescent="0.25">
      <c r="B1257" s="6"/>
      <c r="C1257" s="7"/>
      <c r="D1257"/>
      <c r="E1257"/>
      <c r="F1257"/>
      <c r="G1257"/>
      <c r="H1257"/>
      <c r="I1257"/>
      <c r="J1257"/>
      <c r="K1257"/>
      <c r="L1257"/>
    </row>
    <row r="1258" spans="2:12" s="2" customFormat="1" x14ac:dyDescent="0.25">
      <c r="B1258" s="6"/>
      <c r="C1258" s="7"/>
      <c r="D1258"/>
      <c r="E1258"/>
      <c r="F1258"/>
      <c r="G1258"/>
      <c r="H1258"/>
      <c r="I1258"/>
      <c r="J1258"/>
      <c r="K1258"/>
      <c r="L1258"/>
    </row>
    <row r="1259" spans="2:12" s="2" customFormat="1" x14ac:dyDescent="0.25">
      <c r="B1259" s="6"/>
      <c r="C1259" s="7"/>
      <c r="D1259"/>
      <c r="E1259"/>
      <c r="F1259"/>
      <c r="G1259"/>
      <c r="H1259"/>
      <c r="I1259"/>
      <c r="J1259"/>
      <c r="K1259"/>
      <c r="L1259"/>
    </row>
    <row r="1260" spans="2:12" s="2" customFormat="1" x14ac:dyDescent="0.25">
      <c r="B1260" s="6"/>
      <c r="C1260" s="7"/>
      <c r="D1260"/>
      <c r="E1260"/>
      <c r="F1260"/>
      <c r="G1260"/>
      <c r="H1260"/>
      <c r="I1260"/>
      <c r="J1260"/>
      <c r="K1260"/>
      <c r="L1260"/>
    </row>
    <row r="1261" spans="2:12" s="2" customFormat="1" x14ac:dyDescent="0.25">
      <c r="B1261" s="6"/>
      <c r="C1261" s="7"/>
      <c r="D1261"/>
      <c r="E1261"/>
      <c r="F1261"/>
      <c r="G1261"/>
      <c r="H1261"/>
      <c r="I1261"/>
      <c r="J1261"/>
      <c r="K1261"/>
      <c r="L1261"/>
    </row>
    <row r="1262" spans="2:12" s="2" customFormat="1" x14ac:dyDescent="0.25">
      <c r="B1262" s="6"/>
      <c r="C1262" s="7"/>
      <c r="D1262"/>
      <c r="E1262"/>
      <c r="F1262"/>
      <c r="G1262"/>
      <c r="H1262"/>
      <c r="I1262"/>
      <c r="J1262"/>
      <c r="K1262"/>
      <c r="L1262"/>
    </row>
    <row r="1263" spans="2:12" s="2" customFormat="1" x14ac:dyDescent="0.25">
      <c r="B1263" s="6"/>
      <c r="C1263" s="7"/>
      <c r="D1263"/>
      <c r="E1263"/>
      <c r="F1263"/>
      <c r="G1263"/>
      <c r="H1263"/>
      <c r="I1263"/>
      <c r="J1263"/>
      <c r="K1263"/>
      <c r="L1263"/>
    </row>
    <row r="1264" spans="2:12" s="2" customFormat="1" x14ac:dyDescent="0.25">
      <c r="B1264" s="6"/>
      <c r="C1264" s="7"/>
      <c r="D1264"/>
      <c r="E1264"/>
      <c r="F1264"/>
      <c r="G1264"/>
      <c r="H1264"/>
      <c r="I1264"/>
      <c r="J1264"/>
      <c r="K1264"/>
      <c r="L1264"/>
    </row>
    <row r="1265" spans="2:12" s="2" customFormat="1" x14ac:dyDescent="0.25">
      <c r="B1265" s="6"/>
      <c r="C1265" s="7"/>
      <c r="D1265"/>
      <c r="E1265"/>
      <c r="F1265"/>
      <c r="G1265"/>
      <c r="H1265"/>
      <c r="I1265"/>
      <c r="J1265"/>
      <c r="K1265"/>
      <c r="L1265"/>
    </row>
    <row r="1266" spans="2:12" s="2" customFormat="1" x14ac:dyDescent="0.25">
      <c r="B1266" s="6"/>
      <c r="C1266" s="7"/>
      <c r="D1266"/>
      <c r="E1266"/>
      <c r="F1266"/>
      <c r="G1266"/>
      <c r="H1266"/>
      <c r="I1266"/>
      <c r="J1266"/>
      <c r="K1266"/>
      <c r="L1266"/>
    </row>
    <row r="1267" spans="2:12" s="2" customFormat="1" x14ac:dyDescent="0.25">
      <c r="B1267" s="6"/>
      <c r="C1267" s="7"/>
      <c r="D1267"/>
      <c r="E1267"/>
      <c r="F1267"/>
      <c r="G1267"/>
      <c r="H1267"/>
      <c r="I1267"/>
      <c r="J1267"/>
      <c r="K1267"/>
      <c r="L1267"/>
    </row>
    <row r="1268" spans="2:12" s="2" customFormat="1" x14ac:dyDescent="0.25">
      <c r="B1268" s="6"/>
      <c r="C1268" s="7"/>
      <c r="D1268"/>
      <c r="E1268"/>
      <c r="F1268"/>
      <c r="G1268"/>
      <c r="H1268"/>
      <c r="I1268"/>
      <c r="J1268"/>
      <c r="K1268"/>
      <c r="L1268"/>
    </row>
    <row r="1269" spans="2:12" s="2" customFormat="1" x14ac:dyDescent="0.25">
      <c r="B1269" s="6"/>
      <c r="C1269" s="7"/>
      <c r="D1269"/>
      <c r="E1269"/>
      <c r="F1269"/>
      <c r="G1269"/>
      <c r="H1269"/>
      <c r="I1269"/>
      <c r="J1269"/>
      <c r="K1269"/>
      <c r="L1269"/>
    </row>
    <row r="1270" spans="2:12" s="2" customFormat="1" x14ac:dyDescent="0.25">
      <c r="B1270" s="6"/>
      <c r="C1270" s="7"/>
      <c r="D1270"/>
      <c r="E1270"/>
      <c r="F1270"/>
      <c r="G1270"/>
      <c r="H1270"/>
      <c r="I1270"/>
      <c r="J1270"/>
      <c r="K1270"/>
      <c r="L1270"/>
    </row>
    <row r="1271" spans="2:12" s="2" customFormat="1" x14ac:dyDescent="0.25">
      <c r="B1271" s="6"/>
      <c r="C1271" s="7"/>
      <c r="D1271"/>
      <c r="E1271"/>
      <c r="F1271"/>
      <c r="G1271"/>
      <c r="H1271"/>
      <c r="I1271"/>
      <c r="J1271"/>
      <c r="K1271"/>
      <c r="L1271"/>
    </row>
    <row r="1272" spans="2:12" s="2" customFormat="1" x14ac:dyDescent="0.25">
      <c r="B1272" s="6"/>
      <c r="C1272" s="7"/>
      <c r="D1272"/>
      <c r="E1272"/>
      <c r="F1272"/>
      <c r="G1272"/>
      <c r="H1272"/>
      <c r="I1272"/>
      <c r="J1272"/>
      <c r="K1272"/>
      <c r="L1272"/>
    </row>
    <row r="1273" spans="2:12" s="2" customFormat="1" x14ac:dyDescent="0.25">
      <c r="B1273" s="6"/>
      <c r="C1273" s="7"/>
      <c r="D1273"/>
      <c r="E1273"/>
      <c r="F1273"/>
      <c r="G1273"/>
      <c r="H1273"/>
      <c r="I1273"/>
      <c r="J1273"/>
      <c r="K1273"/>
      <c r="L1273"/>
    </row>
    <row r="1274" spans="2:12" s="2" customFormat="1" x14ac:dyDescent="0.25">
      <c r="B1274" s="6"/>
      <c r="C1274" s="7"/>
      <c r="D1274"/>
      <c r="E1274"/>
      <c r="F1274"/>
      <c r="G1274"/>
      <c r="H1274"/>
      <c r="I1274"/>
      <c r="J1274"/>
      <c r="K1274"/>
      <c r="L1274"/>
    </row>
    <row r="1275" spans="2:12" s="2" customFormat="1" x14ac:dyDescent="0.25">
      <c r="B1275" s="6"/>
      <c r="C1275" s="7"/>
      <c r="D1275"/>
      <c r="E1275"/>
      <c r="F1275"/>
      <c r="G1275"/>
      <c r="H1275"/>
      <c r="I1275"/>
      <c r="J1275"/>
      <c r="K1275"/>
      <c r="L1275"/>
    </row>
    <row r="1276" spans="2:12" s="2" customFormat="1" x14ac:dyDescent="0.25">
      <c r="B1276" s="6"/>
      <c r="C1276" s="7"/>
      <c r="D1276"/>
      <c r="E1276"/>
      <c r="F1276"/>
      <c r="G1276"/>
      <c r="H1276"/>
      <c r="I1276"/>
      <c r="J1276"/>
      <c r="K1276"/>
      <c r="L1276"/>
    </row>
    <row r="1277" spans="2:12" s="2" customFormat="1" x14ac:dyDescent="0.25">
      <c r="B1277" s="6"/>
      <c r="C1277" s="7"/>
      <c r="D1277"/>
      <c r="E1277"/>
      <c r="F1277"/>
      <c r="G1277"/>
      <c r="H1277"/>
      <c r="I1277"/>
      <c r="J1277"/>
      <c r="K1277"/>
      <c r="L1277"/>
    </row>
    <row r="1278" spans="2:12" s="2" customFormat="1" x14ac:dyDescent="0.25">
      <c r="B1278" s="6"/>
      <c r="C1278" s="7"/>
      <c r="D1278"/>
      <c r="E1278"/>
      <c r="F1278"/>
      <c r="G1278"/>
      <c r="H1278"/>
      <c r="I1278"/>
      <c r="J1278"/>
      <c r="K1278"/>
      <c r="L1278"/>
    </row>
    <row r="1279" spans="2:12" s="2" customFormat="1" x14ac:dyDescent="0.25">
      <c r="B1279" s="6"/>
      <c r="C1279" s="7"/>
      <c r="D1279"/>
      <c r="E1279"/>
      <c r="F1279"/>
      <c r="G1279"/>
      <c r="H1279"/>
      <c r="I1279"/>
      <c r="J1279"/>
      <c r="K1279"/>
      <c r="L1279"/>
    </row>
    <row r="1280" spans="2:12" s="2" customFormat="1" x14ac:dyDescent="0.25">
      <c r="B1280" s="6"/>
      <c r="C1280" s="7"/>
      <c r="D1280"/>
      <c r="E1280"/>
      <c r="F1280"/>
      <c r="G1280"/>
      <c r="H1280"/>
      <c r="I1280"/>
      <c r="J1280"/>
      <c r="K1280"/>
      <c r="L1280"/>
    </row>
    <row r="1281" spans="2:12" s="2" customFormat="1" x14ac:dyDescent="0.25">
      <c r="B1281" s="6"/>
      <c r="C1281" s="7"/>
      <c r="D1281"/>
      <c r="E1281"/>
      <c r="F1281"/>
      <c r="G1281"/>
      <c r="H1281"/>
      <c r="I1281"/>
      <c r="J1281"/>
      <c r="K1281"/>
      <c r="L1281"/>
    </row>
    <row r="1282" spans="2:12" s="2" customFormat="1" x14ac:dyDescent="0.25">
      <c r="B1282" s="6"/>
      <c r="C1282" s="7"/>
      <c r="D1282"/>
      <c r="E1282"/>
      <c r="F1282"/>
      <c r="G1282"/>
      <c r="H1282"/>
      <c r="I1282"/>
      <c r="J1282"/>
      <c r="K1282"/>
      <c r="L1282"/>
    </row>
    <row r="1283" spans="2:12" s="2" customFormat="1" x14ac:dyDescent="0.25">
      <c r="B1283" s="6"/>
      <c r="C1283" s="7"/>
      <c r="D1283"/>
      <c r="E1283"/>
      <c r="F1283"/>
      <c r="G1283"/>
      <c r="H1283"/>
      <c r="I1283"/>
      <c r="J1283"/>
      <c r="K1283"/>
      <c r="L1283"/>
    </row>
    <row r="1284" spans="2:12" s="2" customFormat="1" x14ac:dyDescent="0.25">
      <c r="B1284" s="6"/>
      <c r="C1284" s="7"/>
      <c r="D1284"/>
      <c r="E1284"/>
      <c r="F1284"/>
      <c r="G1284"/>
      <c r="H1284"/>
      <c r="I1284"/>
      <c r="J1284"/>
      <c r="K1284"/>
      <c r="L1284"/>
    </row>
    <row r="1285" spans="2:12" s="2" customFormat="1" x14ac:dyDescent="0.25">
      <c r="B1285" s="6"/>
      <c r="C1285" s="7"/>
      <c r="D1285"/>
      <c r="E1285"/>
      <c r="F1285"/>
      <c r="G1285"/>
      <c r="H1285"/>
      <c r="I1285"/>
      <c r="J1285"/>
      <c r="K1285"/>
      <c r="L1285"/>
    </row>
    <row r="1286" spans="2:12" s="2" customFormat="1" x14ac:dyDescent="0.25">
      <c r="B1286" s="6"/>
      <c r="C1286" s="7"/>
      <c r="D1286"/>
      <c r="E1286"/>
      <c r="F1286"/>
      <c r="G1286"/>
      <c r="H1286"/>
      <c r="I1286"/>
      <c r="J1286"/>
      <c r="K1286"/>
      <c r="L1286"/>
    </row>
    <row r="1287" spans="2:12" s="2" customFormat="1" x14ac:dyDescent="0.25">
      <c r="B1287" s="6"/>
      <c r="C1287" s="7"/>
      <c r="D1287"/>
      <c r="E1287"/>
      <c r="F1287"/>
      <c r="G1287"/>
      <c r="H1287"/>
      <c r="I1287"/>
      <c r="J1287"/>
      <c r="K1287"/>
      <c r="L1287"/>
    </row>
    <row r="1288" spans="2:12" s="2" customFormat="1" x14ac:dyDescent="0.25">
      <c r="B1288" s="6"/>
      <c r="C1288" s="7"/>
      <c r="D1288"/>
      <c r="E1288"/>
      <c r="F1288"/>
      <c r="G1288"/>
      <c r="H1288"/>
      <c r="I1288"/>
      <c r="J1288"/>
      <c r="K1288"/>
      <c r="L1288"/>
    </row>
    <row r="1289" spans="2:12" s="2" customFormat="1" x14ac:dyDescent="0.25">
      <c r="B1289" s="6"/>
      <c r="C1289" s="7"/>
      <c r="D1289"/>
      <c r="E1289"/>
      <c r="F1289"/>
      <c r="G1289"/>
      <c r="H1289"/>
      <c r="I1289"/>
      <c r="J1289"/>
      <c r="K1289"/>
      <c r="L1289"/>
    </row>
    <row r="1290" spans="2:12" s="2" customFormat="1" x14ac:dyDescent="0.25">
      <c r="B1290" s="6"/>
      <c r="C1290" s="7"/>
      <c r="D1290"/>
      <c r="E1290"/>
      <c r="F1290"/>
      <c r="G1290"/>
      <c r="H1290"/>
      <c r="I1290"/>
      <c r="J1290"/>
      <c r="K1290"/>
      <c r="L1290"/>
    </row>
    <row r="1291" spans="2:12" s="2" customFormat="1" x14ac:dyDescent="0.25">
      <c r="B1291" s="6"/>
      <c r="C1291" s="7"/>
      <c r="D1291"/>
      <c r="E1291"/>
      <c r="F1291"/>
      <c r="G1291"/>
      <c r="H1291"/>
      <c r="I1291"/>
      <c r="J1291"/>
      <c r="K1291"/>
      <c r="L1291"/>
    </row>
    <row r="1292" spans="2:12" s="2" customFormat="1" x14ac:dyDescent="0.25">
      <c r="B1292" s="6"/>
      <c r="C1292" s="7"/>
      <c r="D1292"/>
      <c r="E1292"/>
      <c r="F1292"/>
      <c r="G1292"/>
      <c r="H1292"/>
      <c r="I1292"/>
      <c r="J1292"/>
      <c r="K1292"/>
      <c r="L1292"/>
    </row>
    <row r="1293" spans="2:12" s="2" customFormat="1" x14ac:dyDescent="0.25">
      <c r="B1293" s="6"/>
      <c r="C1293" s="7"/>
      <c r="D1293"/>
      <c r="E1293"/>
      <c r="F1293"/>
      <c r="G1293"/>
      <c r="H1293"/>
      <c r="I1293"/>
      <c r="J1293"/>
      <c r="K1293"/>
      <c r="L1293"/>
    </row>
    <row r="1294" spans="2:12" s="2" customFormat="1" x14ac:dyDescent="0.25">
      <c r="B1294" s="6"/>
      <c r="C1294" s="7"/>
      <c r="D1294"/>
      <c r="E1294"/>
      <c r="F1294"/>
      <c r="G1294"/>
      <c r="H1294"/>
      <c r="I1294"/>
      <c r="J1294"/>
      <c r="K1294"/>
      <c r="L1294"/>
    </row>
    <row r="1295" spans="2:12" s="2" customFormat="1" x14ac:dyDescent="0.25">
      <c r="B1295" s="6"/>
      <c r="C1295" s="7"/>
      <c r="D1295"/>
      <c r="E1295"/>
      <c r="F1295"/>
      <c r="G1295"/>
      <c r="H1295"/>
      <c r="I1295"/>
      <c r="J1295"/>
      <c r="K1295"/>
      <c r="L1295"/>
    </row>
    <row r="1296" spans="2:12" s="2" customFormat="1" x14ac:dyDescent="0.25">
      <c r="B1296" s="6"/>
      <c r="C1296" s="7"/>
      <c r="D1296"/>
      <c r="E1296"/>
      <c r="F1296"/>
      <c r="G1296"/>
      <c r="H1296"/>
      <c r="I1296"/>
      <c r="J1296"/>
      <c r="K1296"/>
      <c r="L1296"/>
    </row>
    <row r="1297" spans="2:12" s="2" customFormat="1" x14ac:dyDescent="0.25">
      <c r="B1297" s="6"/>
      <c r="C1297" s="7"/>
      <c r="D1297"/>
      <c r="E1297"/>
      <c r="F1297"/>
      <c r="G1297"/>
      <c r="H1297"/>
      <c r="I1297"/>
      <c r="J1297"/>
      <c r="K1297"/>
      <c r="L1297"/>
    </row>
    <row r="1298" spans="2:12" s="2" customFormat="1" x14ac:dyDescent="0.25">
      <c r="B1298" s="6"/>
      <c r="C1298" s="7"/>
      <c r="D1298"/>
      <c r="E1298"/>
      <c r="F1298"/>
      <c r="G1298"/>
      <c r="H1298"/>
      <c r="I1298"/>
      <c r="J1298"/>
      <c r="K1298"/>
      <c r="L1298"/>
    </row>
    <row r="1299" spans="2:12" s="2" customFormat="1" x14ac:dyDescent="0.25">
      <c r="B1299" s="6"/>
      <c r="C1299" s="7"/>
      <c r="D1299"/>
      <c r="E1299"/>
      <c r="F1299"/>
      <c r="G1299"/>
      <c r="H1299"/>
      <c r="I1299"/>
      <c r="J1299"/>
      <c r="K1299"/>
      <c r="L1299"/>
    </row>
    <row r="1300" spans="2:12" s="2" customFormat="1" x14ac:dyDescent="0.25">
      <c r="B1300" s="6"/>
      <c r="C1300" s="7"/>
      <c r="D1300"/>
      <c r="E1300"/>
      <c r="F1300"/>
      <c r="G1300"/>
      <c r="H1300"/>
      <c r="I1300"/>
      <c r="J1300"/>
      <c r="K1300"/>
      <c r="L1300"/>
    </row>
    <row r="1301" spans="2:12" s="2" customFormat="1" x14ac:dyDescent="0.25">
      <c r="B1301" s="6"/>
      <c r="C1301" s="7"/>
      <c r="D1301"/>
      <c r="E1301"/>
      <c r="F1301"/>
      <c r="G1301"/>
      <c r="H1301"/>
      <c r="I1301"/>
      <c r="J1301"/>
      <c r="K1301"/>
      <c r="L1301"/>
    </row>
    <row r="1302" spans="2:12" s="2" customFormat="1" x14ac:dyDescent="0.25">
      <c r="B1302" s="6"/>
      <c r="C1302" s="7"/>
      <c r="D1302"/>
      <c r="E1302"/>
      <c r="F1302"/>
      <c r="G1302"/>
      <c r="H1302"/>
      <c r="I1302"/>
      <c r="J1302"/>
      <c r="K1302"/>
      <c r="L1302"/>
    </row>
    <row r="1303" spans="2:12" s="2" customFormat="1" x14ac:dyDescent="0.25">
      <c r="B1303" s="6"/>
      <c r="C1303" s="7"/>
      <c r="D1303"/>
      <c r="E1303"/>
      <c r="F1303"/>
      <c r="G1303"/>
      <c r="H1303"/>
      <c r="I1303"/>
      <c r="J1303"/>
      <c r="K1303"/>
      <c r="L1303"/>
    </row>
    <row r="1304" spans="2:12" s="2" customFormat="1" x14ac:dyDescent="0.25">
      <c r="B1304" s="6"/>
      <c r="C1304" s="7"/>
      <c r="D1304"/>
      <c r="E1304"/>
      <c r="F1304"/>
      <c r="G1304"/>
      <c r="H1304"/>
      <c r="I1304"/>
      <c r="J1304"/>
      <c r="K1304"/>
      <c r="L1304"/>
    </row>
    <row r="1305" spans="2:12" s="2" customFormat="1" x14ac:dyDescent="0.25">
      <c r="B1305" s="6"/>
      <c r="C1305" s="7"/>
      <c r="D1305"/>
      <c r="E1305"/>
      <c r="F1305"/>
      <c r="G1305"/>
      <c r="H1305"/>
      <c r="I1305"/>
      <c r="J1305"/>
      <c r="K1305"/>
      <c r="L1305"/>
    </row>
    <row r="1306" spans="2:12" s="2" customFormat="1" x14ac:dyDescent="0.25">
      <c r="B1306" s="6"/>
      <c r="C1306" s="7"/>
      <c r="D1306"/>
      <c r="E1306"/>
      <c r="F1306"/>
      <c r="G1306"/>
      <c r="H1306"/>
      <c r="I1306"/>
      <c r="J1306"/>
      <c r="K1306"/>
      <c r="L1306"/>
    </row>
    <row r="1307" spans="2:12" s="2" customFormat="1" x14ac:dyDescent="0.25">
      <c r="B1307" s="6"/>
      <c r="C1307" s="7"/>
      <c r="D1307"/>
      <c r="E1307"/>
      <c r="F1307"/>
      <c r="G1307"/>
      <c r="H1307"/>
      <c r="I1307"/>
      <c r="J1307"/>
      <c r="K1307"/>
      <c r="L1307"/>
    </row>
    <row r="1308" spans="2:12" s="2" customFormat="1" x14ac:dyDescent="0.25">
      <c r="B1308" s="6"/>
      <c r="C1308" s="7"/>
      <c r="D1308"/>
      <c r="E1308"/>
      <c r="F1308"/>
      <c r="G1308"/>
      <c r="H1308"/>
      <c r="I1308"/>
      <c r="J1308"/>
      <c r="K1308"/>
      <c r="L1308"/>
    </row>
    <row r="1309" spans="2:12" s="2" customFormat="1" x14ac:dyDescent="0.25">
      <c r="B1309" s="6"/>
      <c r="C1309" s="7"/>
      <c r="D1309"/>
      <c r="E1309"/>
      <c r="F1309"/>
      <c r="G1309"/>
      <c r="H1309"/>
      <c r="I1309"/>
      <c r="J1309"/>
      <c r="K1309"/>
      <c r="L1309"/>
    </row>
    <row r="1310" spans="2:12" s="2" customFormat="1" x14ac:dyDescent="0.25">
      <c r="B1310" s="6"/>
      <c r="C1310" s="7"/>
      <c r="D1310"/>
      <c r="E1310"/>
      <c r="F1310"/>
      <c r="G1310"/>
      <c r="H1310"/>
      <c r="I1310"/>
      <c r="J1310"/>
      <c r="K1310"/>
      <c r="L1310"/>
    </row>
    <row r="1311" spans="2:12" s="2" customFormat="1" x14ac:dyDescent="0.25">
      <c r="B1311" s="6"/>
      <c r="C1311" s="7"/>
      <c r="D1311"/>
      <c r="E1311"/>
      <c r="F1311"/>
      <c r="G1311"/>
      <c r="H1311"/>
      <c r="I1311"/>
      <c r="J1311"/>
      <c r="K1311"/>
      <c r="L1311"/>
    </row>
    <row r="1312" spans="2:12" s="2" customFormat="1" x14ac:dyDescent="0.25">
      <c r="B1312" s="6"/>
      <c r="C1312" s="7"/>
      <c r="D1312"/>
      <c r="E1312"/>
      <c r="F1312"/>
      <c r="G1312"/>
      <c r="H1312"/>
      <c r="I1312"/>
      <c r="J1312"/>
      <c r="K1312"/>
      <c r="L1312"/>
    </row>
    <row r="1313" spans="2:12" s="2" customFormat="1" x14ac:dyDescent="0.25">
      <c r="B1313" s="6"/>
      <c r="C1313" s="7"/>
      <c r="D1313"/>
      <c r="E1313"/>
      <c r="F1313"/>
      <c r="G1313"/>
      <c r="H1313"/>
      <c r="I1313"/>
      <c r="J1313"/>
      <c r="K1313"/>
      <c r="L1313"/>
    </row>
    <row r="1314" spans="2:12" s="2" customFormat="1" x14ac:dyDescent="0.25">
      <c r="B1314" s="6"/>
      <c r="C1314" s="7"/>
      <c r="D1314"/>
      <c r="E1314"/>
      <c r="F1314"/>
      <c r="G1314"/>
      <c r="H1314"/>
      <c r="I1314"/>
      <c r="J1314"/>
      <c r="K1314"/>
      <c r="L1314"/>
    </row>
    <row r="1315" spans="2:12" s="2" customFormat="1" x14ac:dyDescent="0.25">
      <c r="B1315" s="6"/>
      <c r="C1315" s="7"/>
      <c r="D1315"/>
      <c r="E1315"/>
      <c r="F1315"/>
      <c r="G1315"/>
      <c r="H1315"/>
      <c r="I1315"/>
      <c r="J1315"/>
      <c r="K1315"/>
      <c r="L1315"/>
    </row>
    <row r="1316" spans="2:12" s="2" customFormat="1" x14ac:dyDescent="0.25">
      <c r="B1316" s="6"/>
      <c r="C1316" s="7"/>
      <c r="D1316"/>
      <c r="E1316"/>
      <c r="F1316"/>
      <c r="G1316"/>
      <c r="H1316"/>
      <c r="I1316"/>
      <c r="J1316"/>
      <c r="K1316"/>
      <c r="L1316"/>
    </row>
    <row r="1317" spans="2:12" s="2" customFormat="1" x14ac:dyDescent="0.25">
      <c r="B1317" s="6"/>
      <c r="C1317" s="7"/>
      <c r="D1317"/>
      <c r="E1317"/>
      <c r="F1317"/>
      <c r="G1317"/>
      <c r="H1317"/>
      <c r="I1317"/>
      <c r="J1317"/>
      <c r="K1317"/>
      <c r="L1317"/>
    </row>
    <row r="1318" spans="2:12" s="2" customFormat="1" x14ac:dyDescent="0.25">
      <c r="B1318" s="6"/>
      <c r="C1318" s="7"/>
      <c r="D1318"/>
      <c r="E1318"/>
      <c r="F1318"/>
      <c r="G1318"/>
      <c r="H1318"/>
      <c r="I1318"/>
      <c r="J1318"/>
      <c r="K1318"/>
      <c r="L1318"/>
    </row>
    <row r="1319" spans="2:12" s="2" customFormat="1" x14ac:dyDescent="0.25">
      <c r="B1319" s="6"/>
      <c r="C1319" s="7"/>
      <c r="D1319"/>
      <c r="E1319"/>
      <c r="F1319"/>
      <c r="G1319"/>
      <c r="H1319"/>
      <c r="I1319"/>
      <c r="J1319"/>
      <c r="K1319"/>
      <c r="L1319"/>
    </row>
    <row r="1320" spans="2:12" s="2" customFormat="1" x14ac:dyDescent="0.25">
      <c r="B1320" s="6"/>
      <c r="C1320" s="7"/>
      <c r="D1320"/>
      <c r="E1320"/>
      <c r="F1320"/>
      <c r="G1320"/>
      <c r="H1320"/>
      <c r="I1320"/>
      <c r="J1320"/>
      <c r="K1320"/>
      <c r="L1320"/>
    </row>
    <row r="1321" spans="2:12" s="2" customFormat="1" x14ac:dyDescent="0.25">
      <c r="B1321" s="6"/>
      <c r="C1321" s="7"/>
      <c r="D1321"/>
      <c r="E1321"/>
      <c r="F1321"/>
      <c r="G1321"/>
      <c r="H1321"/>
      <c r="I1321"/>
      <c r="J1321"/>
      <c r="K1321"/>
      <c r="L1321"/>
    </row>
    <row r="1322" spans="2:12" s="2" customFormat="1" x14ac:dyDescent="0.25">
      <c r="B1322" s="6"/>
      <c r="C1322" s="7"/>
      <c r="D1322"/>
      <c r="E1322"/>
      <c r="F1322"/>
      <c r="G1322"/>
      <c r="H1322"/>
      <c r="I1322"/>
      <c r="J1322"/>
      <c r="K1322"/>
      <c r="L1322"/>
    </row>
    <row r="1323" spans="2:12" s="2" customFormat="1" x14ac:dyDescent="0.25">
      <c r="B1323" s="6"/>
      <c r="C1323" s="7"/>
      <c r="D1323"/>
      <c r="E1323"/>
      <c r="F1323"/>
      <c r="G1323"/>
      <c r="H1323"/>
      <c r="I1323"/>
      <c r="J1323"/>
      <c r="K1323"/>
      <c r="L1323"/>
    </row>
    <row r="1324" spans="2:12" s="2" customFormat="1" x14ac:dyDescent="0.25">
      <c r="B1324" s="6"/>
      <c r="C1324" s="7"/>
      <c r="D1324"/>
      <c r="E1324"/>
      <c r="F1324"/>
      <c r="G1324"/>
      <c r="H1324"/>
      <c r="I1324"/>
      <c r="J1324"/>
      <c r="K1324"/>
      <c r="L1324"/>
    </row>
    <row r="1325" spans="2:12" s="2" customFormat="1" x14ac:dyDescent="0.25">
      <c r="B1325" s="6"/>
      <c r="C1325" s="7"/>
      <c r="D1325"/>
      <c r="E1325"/>
      <c r="F1325"/>
      <c r="G1325"/>
      <c r="H1325"/>
      <c r="I1325"/>
      <c r="J1325"/>
      <c r="K1325"/>
      <c r="L1325"/>
    </row>
    <row r="1326" spans="2:12" s="2" customFormat="1" x14ac:dyDescent="0.25">
      <c r="B1326" s="6"/>
      <c r="C1326" s="7"/>
      <c r="D1326"/>
      <c r="E1326"/>
      <c r="F1326"/>
      <c r="G1326"/>
      <c r="H1326"/>
      <c r="I1326"/>
      <c r="J1326"/>
      <c r="K1326"/>
      <c r="L1326"/>
    </row>
    <row r="1327" spans="2:12" s="2" customFormat="1" x14ac:dyDescent="0.25">
      <c r="B1327" s="6"/>
      <c r="C1327" s="7"/>
      <c r="D1327"/>
      <c r="E1327"/>
      <c r="F1327"/>
      <c r="G1327"/>
      <c r="H1327"/>
      <c r="I1327"/>
      <c r="J1327"/>
      <c r="K1327"/>
      <c r="L1327"/>
    </row>
    <row r="1328" spans="2:12" s="2" customFormat="1" x14ac:dyDescent="0.25">
      <c r="B1328" s="6"/>
      <c r="C1328" s="7"/>
      <c r="D1328"/>
      <c r="E1328"/>
      <c r="F1328"/>
      <c r="G1328"/>
      <c r="H1328"/>
      <c r="I1328"/>
      <c r="J1328"/>
      <c r="K1328"/>
      <c r="L1328"/>
    </row>
    <row r="1329" spans="2:12" s="2" customFormat="1" x14ac:dyDescent="0.25">
      <c r="B1329" s="6"/>
      <c r="C1329" s="7"/>
      <c r="D1329"/>
      <c r="E1329"/>
      <c r="F1329"/>
      <c r="G1329"/>
      <c r="H1329"/>
      <c r="I1329"/>
      <c r="J1329"/>
      <c r="K1329"/>
      <c r="L1329"/>
    </row>
    <row r="1330" spans="2:12" s="2" customFormat="1" x14ac:dyDescent="0.25">
      <c r="B1330" s="6"/>
      <c r="C1330" s="7"/>
      <c r="D1330"/>
      <c r="E1330"/>
      <c r="F1330"/>
      <c r="G1330"/>
      <c r="H1330"/>
      <c r="I1330"/>
      <c r="J1330"/>
      <c r="K1330"/>
      <c r="L1330"/>
    </row>
    <row r="1331" spans="2:12" s="2" customFormat="1" x14ac:dyDescent="0.25">
      <c r="B1331" s="6"/>
      <c r="C1331" s="7"/>
      <c r="D1331"/>
      <c r="E1331"/>
      <c r="F1331"/>
      <c r="G1331"/>
      <c r="H1331"/>
      <c r="I1331"/>
      <c r="J1331"/>
      <c r="K1331"/>
      <c r="L1331"/>
    </row>
    <row r="1332" spans="2:12" s="2" customFormat="1" x14ac:dyDescent="0.25">
      <c r="B1332" s="6"/>
      <c r="C1332" s="7"/>
      <c r="D1332"/>
      <c r="E1332"/>
      <c r="F1332"/>
      <c r="G1332"/>
      <c r="H1332"/>
      <c r="I1332"/>
      <c r="J1332"/>
      <c r="K1332"/>
      <c r="L1332"/>
    </row>
    <row r="1333" spans="2:12" s="2" customFormat="1" x14ac:dyDescent="0.25">
      <c r="B1333" s="6"/>
      <c r="C1333" s="7"/>
      <c r="D1333"/>
      <c r="E1333"/>
      <c r="F1333"/>
      <c r="G1333"/>
      <c r="H1333"/>
      <c r="I1333"/>
      <c r="J1333"/>
      <c r="K1333"/>
      <c r="L1333"/>
    </row>
    <row r="1334" spans="2:12" s="2" customFormat="1" x14ac:dyDescent="0.25">
      <c r="B1334" s="6"/>
      <c r="C1334" s="7"/>
      <c r="D1334"/>
      <c r="E1334"/>
      <c r="F1334"/>
      <c r="G1334"/>
      <c r="H1334"/>
      <c r="I1334"/>
      <c r="J1334"/>
      <c r="K1334"/>
      <c r="L1334"/>
    </row>
    <row r="1335" spans="2:12" s="2" customFormat="1" x14ac:dyDescent="0.25">
      <c r="B1335" s="6"/>
      <c r="C1335" s="7"/>
      <c r="D1335"/>
      <c r="E1335"/>
      <c r="F1335"/>
      <c r="G1335"/>
      <c r="H1335"/>
      <c r="I1335"/>
      <c r="J1335"/>
      <c r="K1335"/>
      <c r="L1335"/>
    </row>
    <row r="1336" spans="2:12" s="2" customFormat="1" x14ac:dyDescent="0.25">
      <c r="B1336" s="6"/>
      <c r="C1336" s="7"/>
      <c r="D1336"/>
      <c r="E1336"/>
      <c r="F1336"/>
      <c r="G1336"/>
      <c r="H1336"/>
      <c r="I1336"/>
      <c r="J1336"/>
      <c r="K1336"/>
      <c r="L1336"/>
    </row>
    <row r="1337" spans="2:12" s="2" customFormat="1" x14ac:dyDescent="0.25">
      <c r="B1337" s="6"/>
      <c r="C1337" s="7"/>
      <c r="D1337"/>
      <c r="E1337"/>
      <c r="F1337"/>
      <c r="G1337"/>
      <c r="H1337"/>
      <c r="I1337"/>
      <c r="J1337"/>
      <c r="K1337"/>
      <c r="L1337"/>
    </row>
    <row r="1338" spans="2:12" s="2" customFormat="1" x14ac:dyDescent="0.25">
      <c r="B1338" s="6"/>
      <c r="C1338" s="7"/>
      <c r="D1338"/>
      <c r="E1338"/>
      <c r="F1338"/>
      <c r="G1338"/>
      <c r="H1338"/>
      <c r="I1338"/>
      <c r="J1338"/>
      <c r="K1338"/>
      <c r="L1338"/>
    </row>
    <row r="1339" spans="2:12" s="2" customFormat="1" x14ac:dyDescent="0.25">
      <c r="B1339" s="6"/>
      <c r="C1339" s="7"/>
      <c r="D1339"/>
      <c r="E1339"/>
      <c r="F1339"/>
      <c r="G1339"/>
      <c r="H1339"/>
      <c r="I1339"/>
      <c r="J1339"/>
      <c r="K1339"/>
      <c r="L1339"/>
    </row>
    <row r="1340" spans="2:12" s="2" customFormat="1" x14ac:dyDescent="0.25">
      <c r="B1340" s="6"/>
      <c r="C1340" s="7"/>
      <c r="D1340"/>
      <c r="E1340"/>
      <c r="F1340"/>
      <c r="G1340"/>
      <c r="H1340"/>
      <c r="I1340"/>
      <c r="J1340"/>
      <c r="K1340"/>
      <c r="L1340"/>
    </row>
    <row r="1341" spans="2:12" s="2" customFormat="1" x14ac:dyDescent="0.25">
      <c r="B1341" s="6"/>
      <c r="C1341" s="7"/>
      <c r="D1341"/>
      <c r="E1341"/>
      <c r="F1341"/>
      <c r="G1341"/>
      <c r="H1341"/>
      <c r="I1341"/>
      <c r="J1341"/>
      <c r="K1341"/>
      <c r="L1341"/>
    </row>
    <row r="1342" spans="2:12" s="2" customFormat="1" x14ac:dyDescent="0.25">
      <c r="B1342" s="6"/>
      <c r="C1342" s="7"/>
      <c r="D1342"/>
      <c r="E1342"/>
      <c r="F1342"/>
      <c r="G1342"/>
      <c r="H1342"/>
      <c r="I1342"/>
      <c r="J1342"/>
      <c r="K1342"/>
      <c r="L1342"/>
    </row>
    <row r="1343" spans="2:12" s="2" customFormat="1" x14ac:dyDescent="0.25">
      <c r="B1343" s="6"/>
      <c r="C1343" s="7"/>
      <c r="D1343"/>
      <c r="E1343"/>
      <c r="F1343"/>
      <c r="G1343"/>
      <c r="H1343"/>
      <c r="I1343"/>
      <c r="J1343"/>
      <c r="K1343"/>
      <c r="L1343"/>
    </row>
    <row r="1344" spans="2:12" s="2" customFormat="1" x14ac:dyDescent="0.25">
      <c r="B1344" s="6"/>
      <c r="C1344" s="7"/>
      <c r="D1344"/>
      <c r="E1344"/>
      <c r="F1344"/>
      <c r="G1344"/>
      <c r="H1344"/>
      <c r="I1344"/>
      <c r="J1344"/>
      <c r="K1344"/>
      <c r="L1344"/>
    </row>
    <row r="1345" spans="2:12" s="2" customFormat="1" x14ac:dyDescent="0.25">
      <c r="B1345" s="6"/>
      <c r="C1345" s="7"/>
      <c r="D1345"/>
      <c r="E1345"/>
      <c r="F1345"/>
      <c r="G1345"/>
      <c r="H1345"/>
      <c r="I1345"/>
      <c r="J1345"/>
      <c r="K1345"/>
      <c r="L1345"/>
    </row>
    <row r="1346" spans="2:12" s="2" customFormat="1" x14ac:dyDescent="0.25">
      <c r="B1346" s="6"/>
      <c r="C1346" s="7"/>
      <c r="D1346"/>
      <c r="E1346"/>
      <c r="F1346"/>
      <c r="G1346"/>
      <c r="H1346"/>
      <c r="I1346"/>
      <c r="J1346"/>
      <c r="K1346"/>
      <c r="L1346"/>
    </row>
    <row r="1347" spans="2:12" s="2" customFormat="1" x14ac:dyDescent="0.25">
      <c r="B1347" s="6"/>
      <c r="C1347" s="7"/>
      <c r="D1347"/>
      <c r="E1347"/>
      <c r="F1347"/>
      <c r="G1347"/>
      <c r="H1347"/>
      <c r="I1347"/>
      <c r="J1347"/>
      <c r="K1347"/>
      <c r="L1347"/>
    </row>
    <row r="1348" spans="2:12" s="2" customFormat="1" x14ac:dyDescent="0.25">
      <c r="B1348" s="6"/>
      <c r="C1348" s="7"/>
      <c r="D1348"/>
      <c r="E1348"/>
      <c r="F1348"/>
      <c r="G1348"/>
      <c r="H1348"/>
      <c r="I1348"/>
      <c r="J1348"/>
      <c r="K1348"/>
      <c r="L1348"/>
    </row>
    <row r="1349" spans="2:12" s="2" customFormat="1" x14ac:dyDescent="0.25">
      <c r="B1349" s="6"/>
      <c r="C1349" s="7"/>
      <c r="D1349"/>
      <c r="E1349"/>
      <c r="F1349"/>
      <c r="G1349"/>
      <c r="H1349"/>
      <c r="I1349"/>
      <c r="J1349"/>
      <c r="K1349"/>
      <c r="L1349"/>
    </row>
    <row r="1350" spans="2:12" s="2" customFormat="1" x14ac:dyDescent="0.25">
      <c r="B1350" s="6"/>
      <c r="C1350" s="7"/>
      <c r="D1350"/>
      <c r="E1350"/>
      <c r="F1350"/>
      <c r="G1350"/>
      <c r="H1350"/>
      <c r="I1350"/>
      <c r="J1350"/>
      <c r="K1350"/>
      <c r="L1350"/>
    </row>
    <row r="1351" spans="2:12" s="2" customFormat="1" x14ac:dyDescent="0.25">
      <c r="B1351" s="6"/>
      <c r="C1351" s="7"/>
      <c r="D1351"/>
      <c r="E1351"/>
      <c r="F1351"/>
      <c r="G1351"/>
      <c r="H1351"/>
      <c r="I1351"/>
      <c r="J1351"/>
      <c r="K1351"/>
      <c r="L1351"/>
    </row>
    <row r="1352" spans="2:12" s="2" customFormat="1" x14ac:dyDescent="0.25">
      <c r="B1352" s="6"/>
      <c r="C1352" s="7"/>
      <c r="D1352"/>
      <c r="E1352"/>
      <c r="F1352"/>
      <c r="G1352"/>
      <c r="H1352"/>
      <c r="I1352"/>
      <c r="J1352"/>
      <c r="K1352"/>
      <c r="L1352"/>
    </row>
    <row r="1353" spans="2:12" s="2" customFormat="1" x14ac:dyDescent="0.25">
      <c r="B1353" s="6"/>
      <c r="C1353" s="7"/>
      <c r="D1353"/>
      <c r="E1353"/>
      <c r="F1353"/>
      <c r="G1353"/>
      <c r="H1353"/>
      <c r="I1353"/>
      <c r="J1353"/>
      <c r="K1353"/>
      <c r="L1353"/>
    </row>
    <row r="1354" spans="2:12" s="2" customFormat="1" x14ac:dyDescent="0.25">
      <c r="B1354" s="6"/>
      <c r="C1354" s="7"/>
      <c r="D1354"/>
      <c r="E1354"/>
      <c r="F1354"/>
      <c r="G1354"/>
      <c r="H1354"/>
      <c r="I1354"/>
      <c r="J1354"/>
      <c r="K1354"/>
      <c r="L1354"/>
    </row>
    <row r="1355" spans="2:12" s="2" customFormat="1" x14ac:dyDescent="0.25">
      <c r="B1355" s="6"/>
      <c r="C1355" s="7"/>
      <c r="D1355"/>
      <c r="E1355"/>
      <c r="F1355"/>
      <c r="G1355"/>
      <c r="H1355"/>
      <c r="I1355"/>
      <c r="J1355"/>
      <c r="K1355"/>
      <c r="L1355"/>
    </row>
    <row r="1356" spans="2:12" s="2" customFormat="1" x14ac:dyDescent="0.25">
      <c r="B1356" s="6"/>
      <c r="C1356" s="7"/>
      <c r="D1356"/>
      <c r="E1356"/>
      <c r="F1356"/>
      <c r="G1356"/>
      <c r="H1356"/>
      <c r="I1356"/>
      <c r="J1356"/>
      <c r="K1356"/>
      <c r="L1356"/>
    </row>
    <row r="1357" spans="2:12" s="2" customFormat="1" x14ac:dyDescent="0.25">
      <c r="B1357" s="6"/>
      <c r="C1357" s="7"/>
      <c r="D1357"/>
      <c r="E1357"/>
      <c r="F1357"/>
      <c r="G1357"/>
      <c r="H1357"/>
      <c r="I1357"/>
      <c r="J1357"/>
      <c r="K1357"/>
      <c r="L1357"/>
    </row>
    <row r="1358" spans="2:12" s="2" customFormat="1" x14ac:dyDescent="0.25">
      <c r="B1358" s="6"/>
      <c r="C1358" s="7"/>
      <c r="D1358"/>
      <c r="E1358"/>
      <c r="F1358"/>
      <c r="G1358"/>
      <c r="H1358"/>
      <c r="I1358"/>
      <c r="J1358"/>
      <c r="K1358"/>
      <c r="L1358"/>
    </row>
    <row r="1359" spans="2:12" s="2" customFormat="1" x14ac:dyDescent="0.25">
      <c r="B1359" s="6"/>
      <c r="C1359" s="7"/>
      <c r="D1359"/>
      <c r="E1359"/>
      <c r="F1359"/>
      <c r="G1359"/>
      <c r="H1359"/>
      <c r="I1359"/>
      <c r="J1359"/>
      <c r="K1359"/>
      <c r="L1359"/>
    </row>
    <row r="1360" spans="2:12" s="2" customFormat="1" x14ac:dyDescent="0.25">
      <c r="B1360" s="6"/>
      <c r="C1360" s="7"/>
      <c r="D1360"/>
      <c r="E1360"/>
      <c r="F1360"/>
      <c r="G1360"/>
      <c r="H1360"/>
      <c r="I1360"/>
      <c r="J1360"/>
      <c r="K1360"/>
      <c r="L1360"/>
    </row>
    <row r="1361" spans="2:12" s="2" customFormat="1" x14ac:dyDescent="0.25">
      <c r="B1361" s="6"/>
      <c r="C1361" s="7"/>
      <c r="D1361"/>
      <c r="E1361"/>
      <c r="F1361"/>
      <c r="G1361"/>
      <c r="H1361"/>
      <c r="I1361"/>
      <c r="J1361"/>
      <c r="K1361"/>
      <c r="L1361"/>
    </row>
    <row r="1362" spans="2:12" s="2" customFormat="1" x14ac:dyDescent="0.25">
      <c r="B1362" s="6"/>
      <c r="C1362" s="7"/>
      <c r="D1362"/>
      <c r="E1362"/>
      <c r="F1362"/>
      <c r="G1362"/>
      <c r="H1362"/>
      <c r="I1362"/>
      <c r="J1362"/>
      <c r="K1362"/>
      <c r="L1362"/>
    </row>
    <row r="1363" spans="2:12" s="2" customFormat="1" x14ac:dyDescent="0.25">
      <c r="B1363" s="6"/>
      <c r="C1363" s="7"/>
      <c r="D1363"/>
      <c r="E1363"/>
      <c r="F1363"/>
      <c r="G1363"/>
      <c r="H1363"/>
      <c r="I1363"/>
      <c r="J1363"/>
      <c r="K1363"/>
      <c r="L1363"/>
    </row>
    <row r="1364" spans="2:12" s="2" customFormat="1" x14ac:dyDescent="0.25">
      <c r="B1364" s="6"/>
      <c r="C1364" s="7"/>
      <c r="D1364"/>
      <c r="E1364"/>
      <c r="F1364"/>
      <c r="G1364"/>
      <c r="H1364"/>
      <c r="I1364"/>
      <c r="J1364"/>
      <c r="K1364"/>
      <c r="L1364"/>
    </row>
    <row r="1365" spans="2:12" s="2" customFormat="1" x14ac:dyDescent="0.25">
      <c r="B1365" s="6"/>
      <c r="C1365" s="7"/>
      <c r="D1365"/>
      <c r="E1365"/>
      <c r="F1365"/>
      <c r="G1365"/>
      <c r="H1365"/>
      <c r="I1365"/>
      <c r="J1365"/>
      <c r="K1365"/>
      <c r="L1365"/>
    </row>
    <row r="1366" spans="2:12" s="2" customFormat="1" x14ac:dyDescent="0.25">
      <c r="B1366" s="6"/>
      <c r="C1366" s="7"/>
      <c r="D1366"/>
      <c r="E1366"/>
      <c r="F1366"/>
      <c r="G1366"/>
      <c r="H1366"/>
      <c r="I1366"/>
      <c r="J1366"/>
      <c r="K1366"/>
      <c r="L1366"/>
    </row>
    <row r="1367" spans="2:12" s="2" customFormat="1" x14ac:dyDescent="0.25">
      <c r="B1367" s="6"/>
      <c r="C1367" s="7"/>
      <c r="D1367"/>
      <c r="E1367"/>
      <c r="F1367"/>
      <c r="G1367"/>
      <c r="H1367"/>
      <c r="I1367"/>
      <c r="J1367"/>
      <c r="K1367"/>
      <c r="L1367"/>
    </row>
    <row r="1368" spans="2:12" s="2" customFormat="1" x14ac:dyDescent="0.25">
      <c r="B1368" s="6"/>
      <c r="C1368" s="7"/>
      <c r="D1368"/>
      <c r="E1368"/>
      <c r="F1368"/>
      <c r="G1368"/>
      <c r="H1368"/>
      <c r="I1368"/>
      <c r="J1368"/>
      <c r="K1368"/>
      <c r="L1368"/>
    </row>
    <row r="1369" spans="2:12" s="2" customFormat="1" x14ac:dyDescent="0.25">
      <c r="B1369" s="6"/>
      <c r="C1369" s="7"/>
      <c r="D1369"/>
      <c r="E1369"/>
      <c r="F1369"/>
      <c r="G1369"/>
      <c r="H1369"/>
      <c r="I1369"/>
      <c r="J1369"/>
      <c r="K1369"/>
      <c r="L1369"/>
    </row>
    <row r="1370" spans="2:12" s="2" customFormat="1" x14ac:dyDescent="0.25">
      <c r="B1370" s="6"/>
      <c r="C1370" s="7"/>
      <c r="D1370"/>
      <c r="E1370"/>
      <c r="F1370"/>
      <c r="G1370"/>
      <c r="H1370"/>
      <c r="I1370"/>
      <c r="J1370"/>
      <c r="K1370"/>
      <c r="L1370"/>
    </row>
    <row r="1371" spans="2:12" s="2" customFormat="1" x14ac:dyDescent="0.25">
      <c r="B1371" s="6"/>
      <c r="C1371" s="7"/>
      <c r="D1371"/>
      <c r="E1371"/>
      <c r="F1371"/>
      <c r="G1371"/>
      <c r="H1371"/>
      <c r="I1371"/>
      <c r="J1371"/>
      <c r="K1371"/>
      <c r="L1371"/>
    </row>
    <row r="1372" spans="2:12" s="2" customFormat="1" x14ac:dyDescent="0.25">
      <c r="B1372" s="6"/>
      <c r="C1372" s="7"/>
      <c r="D1372"/>
      <c r="E1372"/>
      <c r="F1372"/>
      <c r="G1372"/>
      <c r="H1372"/>
      <c r="I1372"/>
      <c r="J1372"/>
      <c r="K1372"/>
      <c r="L1372"/>
    </row>
    <row r="1373" spans="2:12" s="2" customFormat="1" x14ac:dyDescent="0.25">
      <c r="B1373" s="6"/>
      <c r="C1373" s="7"/>
      <c r="D1373"/>
      <c r="E1373"/>
      <c r="F1373"/>
      <c r="G1373"/>
      <c r="H1373"/>
      <c r="I1373"/>
      <c r="J1373"/>
      <c r="K1373"/>
      <c r="L1373"/>
    </row>
    <row r="1374" spans="2:12" s="2" customFormat="1" x14ac:dyDescent="0.25">
      <c r="B1374" s="6"/>
      <c r="C1374" s="7"/>
      <c r="D1374"/>
      <c r="E1374"/>
      <c r="F1374"/>
      <c r="G1374"/>
      <c r="H1374"/>
      <c r="I1374"/>
      <c r="J1374"/>
      <c r="K1374"/>
      <c r="L1374"/>
    </row>
    <row r="1375" spans="2:12" s="2" customFormat="1" x14ac:dyDescent="0.25">
      <c r="B1375" s="6"/>
      <c r="C1375" s="7"/>
      <c r="D1375"/>
      <c r="E1375"/>
      <c r="F1375"/>
      <c r="G1375"/>
      <c r="H1375"/>
      <c r="I1375"/>
      <c r="J1375"/>
      <c r="K1375"/>
      <c r="L1375"/>
    </row>
    <row r="1376" spans="2:12" s="2" customFormat="1" x14ac:dyDescent="0.25">
      <c r="B1376" s="6"/>
      <c r="C1376" s="7"/>
      <c r="D1376"/>
      <c r="E1376"/>
      <c r="F1376"/>
      <c r="G1376"/>
      <c r="H1376"/>
      <c r="I1376"/>
      <c r="J1376"/>
      <c r="K1376"/>
      <c r="L1376"/>
    </row>
    <row r="1377" spans="2:12" s="2" customFormat="1" x14ac:dyDescent="0.25">
      <c r="B1377" s="6"/>
      <c r="C1377" s="7"/>
      <c r="D1377"/>
      <c r="E1377"/>
      <c r="F1377"/>
      <c r="G1377"/>
      <c r="H1377"/>
      <c r="I1377"/>
      <c r="J1377"/>
      <c r="K1377"/>
      <c r="L1377"/>
    </row>
    <row r="1378" spans="2:12" s="2" customFormat="1" x14ac:dyDescent="0.25">
      <c r="B1378" s="6"/>
      <c r="C1378" s="7"/>
      <c r="D1378"/>
      <c r="E1378"/>
      <c r="F1378"/>
      <c r="G1378"/>
      <c r="H1378"/>
      <c r="I1378"/>
      <c r="J1378"/>
      <c r="K1378"/>
      <c r="L1378"/>
    </row>
    <row r="1379" spans="2:12" s="2" customFormat="1" x14ac:dyDescent="0.25">
      <c r="B1379" s="6"/>
      <c r="C1379" s="7"/>
      <c r="D1379"/>
      <c r="E1379"/>
      <c r="F1379"/>
      <c r="G1379"/>
      <c r="H1379"/>
      <c r="I1379"/>
      <c r="J1379"/>
      <c r="K1379"/>
      <c r="L1379"/>
    </row>
    <row r="1380" spans="2:12" s="2" customFormat="1" x14ac:dyDescent="0.25">
      <c r="B1380" s="6"/>
      <c r="C1380" s="7"/>
      <c r="D1380"/>
      <c r="E1380"/>
      <c r="F1380"/>
      <c r="G1380"/>
      <c r="H1380"/>
      <c r="I1380"/>
      <c r="J1380"/>
      <c r="K1380"/>
      <c r="L1380"/>
    </row>
    <row r="1381" spans="2:12" s="2" customFormat="1" x14ac:dyDescent="0.25">
      <c r="B1381" s="6"/>
      <c r="C1381" s="7"/>
      <c r="D1381"/>
      <c r="E1381"/>
      <c r="F1381"/>
      <c r="G1381"/>
      <c r="H1381"/>
      <c r="I1381"/>
      <c r="J1381"/>
      <c r="K1381"/>
      <c r="L1381"/>
    </row>
    <row r="1382" spans="2:12" s="2" customFormat="1" x14ac:dyDescent="0.25">
      <c r="B1382" s="6"/>
      <c r="C1382" s="7"/>
      <c r="D1382"/>
      <c r="E1382"/>
      <c r="F1382"/>
      <c r="G1382"/>
      <c r="H1382"/>
      <c r="I1382"/>
      <c r="J1382"/>
      <c r="K1382"/>
      <c r="L1382"/>
    </row>
    <row r="1383" spans="2:12" s="2" customFormat="1" x14ac:dyDescent="0.25">
      <c r="B1383" s="6"/>
      <c r="C1383" s="7"/>
      <c r="D1383"/>
      <c r="E1383"/>
      <c r="F1383"/>
      <c r="G1383"/>
      <c r="H1383"/>
      <c r="I1383"/>
      <c r="J1383"/>
      <c r="K1383"/>
      <c r="L1383"/>
    </row>
    <row r="1384" spans="2:12" s="2" customFormat="1" x14ac:dyDescent="0.25">
      <c r="B1384" s="6"/>
      <c r="C1384" s="7"/>
      <c r="D1384"/>
      <c r="E1384"/>
      <c r="F1384"/>
      <c r="G1384"/>
      <c r="H1384"/>
      <c r="I1384"/>
      <c r="J1384"/>
      <c r="K1384"/>
      <c r="L1384"/>
    </row>
    <row r="1385" spans="2:12" s="2" customFormat="1" x14ac:dyDescent="0.25">
      <c r="B1385" s="6"/>
      <c r="C1385" s="7"/>
      <c r="D1385"/>
      <c r="E1385"/>
      <c r="F1385"/>
      <c r="G1385"/>
      <c r="H1385"/>
      <c r="I1385"/>
      <c r="J1385"/>
      <c r="K1385"/>
      <c r="L1385"/>
    </row>
    <row r="1386" spans="2:12" s="2" customFormat="1" x14ac:dyDescent="0.25">
      <c r="B1386" s="6"/>
      <c r="C1386" s="7"/>
      <c r="D1386"/>
      <c r="E1386"/>
      <c r="F1386"/>
      <c r="G1386"/>
      <c r="H1386"/>
      <c r="I1386"/>
      <c r="J1386"/>
      <c r="K1386"/>
      <c r="L1386"/>
    </row>
    <row r="1387" spans="2:12" s="2" customFormat="1" x14ac:dyDescent="0.25">
      <c r="B1387" s="6"/>
      <c r="C1387" s="7"/>
      <c r="D1387"/>
      <c r="E1387"/>
      <c r="F1387"/>
      <c r="G1387"/>
      <c r="H1387"/>
      <c r="I1387"/>
      <c r="J1387"/>
      <c r="K1387"/>
      <c r="L1387"/>
    </row>
    <row r="1388" spans="2:12" s="2" customFormat="1" x14ac:dyDescent="0.25">
      <c r="B1388" s="6"/>
      <c r="C1388" s="7"/>
      <c r="D1388"/>
      <c r="E1388"/>
      <c r="F1388"/>
      <c r="G1388"/>
      <c r="H1388"/>
      <c r="I1388"/>
      <c r="J1388"/>
      <c r="K1388"/>
      <c r="L1388"/>
    </row>
    <row r="1389" spans="2:12" s="2" customFormat="1" x14ac:dyDescent="0.25">
      <c r="B1389" s="6"/>
      <c r="C1389" s="7"/>
      <c r="D1389"/>
      <c r="E1389"/>
      <c r="F1389"/>
      <c r="G1389"/>
      <c r="H1389"/>
      <c r="I1389"/>
      <c r="J1389"/>
      <c r="K1389"/>
      <c r="L1389"/>
    </row>
    <row r="1390" spans="2:12" s="2" customFormat="1" x14ac:dyDescent="0.25">
      <c r="B1390" s="6"/>
      <c r="C1390" s="7"/>
      <c r="D1390"/>
      <c r="E1390"/>
      <c r="F1390"/>
      <c r="G1390"/>
      <c r="H1390"/>
      <c r="I1390"/>
      <c r="J1390"/>
      <c r="K1390"/>
      <c r="L1390"/>
    </row>
    <row r="1391" spans="2:12" s="2" customFormat="1" x14ac:dyDescent="0.25">
      <c r="B1391" s="6"/>
      <c r="C1391" s="7"/>
      <c r="D1391"/>
      <c r="E1391"/>
      <c r="F1391"/>
      <c r="G1391"/>
      <c r="H1391"/>
      <c r="I1391"/>
      <c r="J1391"/>
      <c r="K1391"/>
      <c r="L1391"/>
    </row>
    <row r="1392" spans="2:12" s="2" customFormat="1" x14ac:dyDescent="0.25">
      <c r="B1392" s="6"/>
      <c r="C1392" s="7"/>
      <c r="D1392"/>
      <c r="E1392"/>
      <c r="F1392"/>
      <c r="G1392"/>
      <c r="H1392"/>
      <c r="I1392"/>
      <c r="J1392"/>
      <c r="K1392"/>
      <c r="L1392"/>
    </row>
    <row r="1393" spans="2:12" s="2" customFormat="1" x14ac:dyDescent="0.25">
      <c r="B1393" s="6"/>
      <c r="C1393" s="7"/>
      <c r="D1393"/>
      <c r="E1393"/>
      <c r="F1393"/>
      <c r="G1393"/>
      <c r="H1393"/>
      <c r="I1393"/>
      <c r="J1393"/>
      <c r="K1393"/>
      <c r="L1393"/>
    </row>
    <row r="1394" spans="2:12" s="2" customFormat="1" x14ac:dyDescent="0.25">
      <c r="B1394" s="6"/>
      <c r="C1394" s="7"/>
      <c r="D1394"/>
      <c r="E1394"/>
      <c r="F1394"/>
      <c r="G1394"/>
      <c r="H1394"/>
      <c r="I1394"/>
      <c r="J1394"/>
      <c r="K1394"/>
      <c r="L1394"/>
    </row>
    <row r="1395" spans="2:12" s="2" customFormat="1" x14ac:dyDescent="0.25">
      <c r="B1395" s="6"/>
      <c r="C1395" s="7"/>
      <c r="D1395"/>
      <c r="E1395"/>
      <c r="F1395"/>
      <c r="G1395"/>
      <c r="H1395"/>
      <c r="I1395"/>
      <c r="J1395"/>
      <c r="K1395"/>
      <c r="L1395"/>
    </row>
    <row r="1396" spans="2:12" s="2" customFormat="1" x14ac:dyDescent="0.25">
      <c r="B1396" s="6"/>
      <c r="C1396" s="7"/>
      <c r="D1396"/>
      <c r="E1396"/>
      <c r="F1396"/>
      <c r="G1396"/>
      <c r="H1396"/>
      <c r="I1396"/>
      <c r="J1396"/>
      <c r="K1396"/>
      <c r="L1396"/>
    </row>
    <row r="1397" spans="2:12" s="2" customFormat="1" x14ac:dyDescent="0.25">
      <c r="B1397" s="6"/>
      <c r="C1397" s="7"/>
      <c r="D1397"/>
      <c r="E1397"/>
      <c r="F1397"/>
      <c r="G1397"/>
      <c r="H1397"/>
      <c r="I1397"/>
      <c r="J1397"/>
      <c r="K1397"/>
      <c r="L1397"/>
    </row>
    <row r="1398" spans="2:12" s="2" customFormat="1" x14ac:dyDescent="0.25">
      <c r="B1398" s="6"/>
      <c r="C1398" s="7"/>
      <c r="D1398"/>
      <c r="E1398"/>
      <c r="F1398"/>
      <c r="G1398"/>
      <c r="H1398"/>
      <c r="I1398"/>
      <c r="J1398"/>
      <c r="K1398"/>
      <c r="L1398"/>
    </row>
    <row r="1399" spans="2:12" s="2" customFormat="1" x14ac:dyDescent="0.25">
      <c r="B1399" s="6"/>
      <c r="C1399" s="7"/>
      <c r="D1399"/>
      <c r="E1399"/>
      <c r="F1399"/>
      <c r="G1399"/>
      <c r="H1399"/>
      <c r="I1399"/>
      <c r="J1399"/>
      <c r="K1399"/>
      <c r="L1399"/>
    </row>
    <row r="1400" spans="2:12" s="2" customFormat="1" x14ac:dyDescent="0.25">
      <c r="B1400" s="6"/>
      <c r="C1400" s="7"/>
      <c r="D1400"/>
      <c r="E1400"/>
      <c r="F1400"/>
      <c r="G1400"/>
      <c r="H1400"/>
      <c r="I1400"/>
      <c r="J1400"/>
      <c r="K1400"/>
      <c r="L1400"/>
    </row>
    <row r="1401" spans="2:12" s="2" customFormat="1" x14ac:dyDescent="0.25">
      <c r="B1401" s="6"/>
      <c r="C1401" s="7"/>
      <c r="D1401"/>
      <c r="E1401"/>
      <c r="F1401"/>
      <c r="G1401"/>
      <c r="H1401"/>
      <c r="I1401"/>
      <c r="J1401"/>
      <c r="K1401"/>
      <c r="L1401"/>
    </row>
    <row r="1402" spans="2:12" s="2" customFormat="1" x14ac:dyDescent="0.25">
      <c r="B1402" s="6"/>
      <c r="C1402" s="7"/>
      <c r="D1402"/>
      <c r="E1402"/>
      <c r="F1402"/>
      <c r="G1402"/>
      <c r="H1402"/>
      <c r="I1402"/>
      <c r="J1402"/>
      <c r="K1402"/>
      <c r="L1402"/>
    </row>
    <row r="1403" spans="2:12" s="2" customFormat="1" x14ac:dyDescent="0.25">
      <c r="B1403" s="6"/>
      <c r="C1403" s="7"/>
      <c r="D1403"/>
      <c r="E1403"/>
      <c r="F1403"/>
      <c r="G1403"/>
      <c r="H1403"/>
      <c r="I1403"/>
      <c r="J1403"/>
      <c r="K1403"/>
      <c r="L1403"/>
    </row>
    <row r="1404" spans="2:12" s="2" customFormat="1" x14ac:dyDescent="0.25">
      <c r="B1404" s="6"/>
      <c r="C1404" s="7"/>
      <c r="D1404"/>
      <c r="E1404"/>
      <c r="F1404"/>
      <c r="G1404"/>
      <c r="H1404"/>
      <c r="I1404"/>
      <c r="J1404"/>
      <c r="K1404"/>
      <c r="L1404"/>
    </row>
    <row r="1405" spans="2:12" s="2" customFormat="1" x14ac:dyDescent="0.25">
      <c r="B1405" s="6"/>
      <c r="C1405" s="7"/>
      <c r="D1405"/>
      <c r="E1405"/>
      <c r="F1405"/>
      <c r="G1405"/>
      <c r="H1405"/>
      <c r="I1405"/>
      <c r="J1405"/>
      <c r="K1405"/>
      <c r="L1405"/>
    </row>
    <row r="1406" spans="2:12" s="2" customFormat="1" x14ac:dyDescent="0.25">
      <c r="B1406" s="6"/>
      <c r="C1406" s="7"/>
      <c r="D1406"/>
      <c r="E1406"/>
      <c r="F1406"/>
      <c r="G1406"/>
      <c r="H1406"/>
      <c r="I1406"/>
      <c r="J1406"/>
      <c r="K1406"/>
      <c r="L1406"/>
    </row>
    <row r="1407" spans="2:12" s="2" customFormat="1" x14ac:dyDescent="0.25">
      <c r="B1407" s="6"/>
      <c r="C1407" s="7"/>
      <c r="D1407"/>
      <c r="E1407"/>
      <c r="F1407"/>
      <c r="G1407"/>
      <c r="H1407"/>
      <c r="I1407"/>
      <c r="J1407"/>
      <c r="K1407"/>
      <c r="L1407"/>
    </row>
    <row r="1408" spans="2:12" s="2" customFormat="1" x14ac:dyDescent="0.25">
      <c r="B1408" s="6"/>
      <c r="C1408" s="7"/>
      <c r="D1408"/>
      <c r="E1408"/>
      <c r="F1408"/>
      <c r="G1408"/>
      <c r="H1408"/>
      <c r="I1408"/>
      <c r="J1408"/>
      <c r="K1408"/>
      <c r="L1408"/>
    </row>
    <row r="1409" spans="2:12" s="2" customFormat="1" x14ac:dyDescent="0.25">
      <c r="B1409" s="6"/>
      <c r="C1409" s="7"/>
      <c r="D1409"/>
      <c r="E1409"/>
      <c r="F1409"/>
      <c r="G1409"/>
      <c r="H1409"/>
      <c r="I1409"/>
      <c r="J1409"/>
      <c r="K1409"/>
      <c r="L1409"/>
    </row>
    <row r="1410" spans="2:12" s="2" customFormat="1" x14ac:dyDescent="0.25">
      <c r="B1410" s="6"/>
      <c r="C1410" s="7"/>
      <c r="D1410"/>
      <c r="E1410"/>
      <c r="F1410"/>
      <c r="G1410"/>
      <c r="H1410"/>
      <c r="I1410"/>
      <c r="J1410"/>
      <c r="K1410"/>
      <c r="L1410"/>
    </row>
    <row r="1411" spans="2:12" s="2" customFormat="1" x14ac:dyDescent="0.25">
      <c r="B1411" s="6"/>
      <c r="C1411" s="7"/>
      <c r="D1411"/>
      <c r="E1411"/>
      <c r="F1411"/>
      <c r="G1411"/>
      <c r="H1411"/>
      <c r="I1411"/>
      <c r="J1411"/>
      <c r="K1411"/>
      <c r="L1411"/>
    </row>
    <row r="1412" spans="2:12" s="2" customFormat="1" x14ac:dyDescent="0.25">
      <c r="B1412" s="6"/>
      <c r="C1412" s="7"/>
      <c r="D1412"/>
      <c r="E1412"/>
      <c r="F1412"/>
      <c r="G1412"/>
      <c r="H1412"/>
      <c r="I1412"/>
      <c r="J1412"/>
      <c r="K1412"/>
      <c r="L1412"/>
    </row>
    <row r="1413" spans="2:12" s="2" customFormat="1" x14ac:dyDescent="0.25">
      <c r="B1413" s="6"/>
      <c r="C1413" s="7"/>
      <c r="D1413"/>
      <c r="E1413"/>
      <c r="F1413"/>
      <c r="G1413"/>
      <c r="H1413"/>
      <c r="I1413"/>
      <c r="J1413"/>
      <c r="K1413"/>
      <c r="L1413"/>
    </row>
    <row r="1414" spans="2:12" s="2" customFormat="1" x14ac:dyDescent="0.25">
      <c r="B1414" s="6"/>
      <c r="C1414" s="7"/>
      <c r="D1414"/>
      <c r="E1414"/>
      <c r="F1414"/>
      <c r="G1414"/>
      <c r="H1414"/>
      <c r="I1414"/>
      <c r="J1414"/>
      <c r="K1414"/>
      <c r="L1414"/>
    </row>
    <row r="1415" spans="2:12" s="2" customFormat="1" x14ac:dyDescent="0.25">
      <c r="B1415" s="6"/>
      <c r="C1415" s="7"/>
      <c r="D1415"/>
      <c r="E1415"/>
      <c r="F1415"/>
      <c r="G1415"/>
      <c r="H1415"/>
      <c r="I1415"/>
      <c r="J1415"/>
      <c r="K1415"/>
      <c r="L1415"/>
    </row>
    <row r="1416" spans="2:12" s="2" customFormat="1" x14ac:dyDescent="0.25">
      <c r="B1416" s="6"/>
      <c r="C1416" s="7"/>
      <c r="D1416"/>
      <c r="E1416"/>
      <c r="F1416"/>
      <c r="G1416"/>
      <c r="H1416"/>
      <c r="I1416"/>
      <c r="J1416"/>
      <c r="K1416"/>
      <c r="L1416"/>
    </row>
    <row r="1417" spans="2:12" s="2" customFormat="1" x14ac:dyDescent="0.25">
      <c r="B1417" s="6"/>
      <c r="C1417" s="7"/>
      <c r="D1417"/>
      <c r="E1417"/>
      <c r="F1417"/>
      <c r="G1417"/>
      <c r="H1417"/>
      <c r="I1417"/>
      <c r="J1417"/>
      <c r="K1417"/>
      <c r="L1417"/>
    </row>
    <row r="1418" spans="2:12" s="2" customFormat="1" x14ac:dyDescent="0.25">
      <c r="B1418" s="6"/>
      <c r="C1418" s="7"/>
      <c r="D1418"/>
      <c r="E1418"/>
      <c r="F1418"/>
      <c r="G1418"/>
      <c r="H1418"/>
      <c r="I1418"/>
      <c r="J1418"/>
      <c r="K1418"/>
      <c r="L1418"/>
    </row>
    <row r="1419" spans="2:12" s="2" customFormat="1" x14ac:dyDescent="0.25">
      <c r="B1419" s="6"/>
      <c r="C1419" s="7"/>
      <c r="D1419"/>
      <c r="E1419"/>
      <c r="F1419"/>
      <c r="G1419"/>
      <c r="H1419"/>
      <c r="I1419"/>
      <c r="J1419"/>
      <c r="K1419"/>
      <c r="L1419"/>
    </row>
    <row r="1420" spans="2:12" s="2" customFormat="1" x14ac:dyDescent="0.25">
      <c r="B1420" s="6"/>
      <c r="C1420" s="7"/>
      <c r="D1420"/>
      <c r="E1420"/>
      <c r="F1420"/>
      <c r="G1420"/>
      <c r="H1420"/>
      <c r="I1420"/>
      <c r="J1420"/>
      <c r="K1420"/>
      <c r="L1420"/>
    </row>
    <row r="1421" spans="2:12" s="2" customFormat="1" x14ac:dyDescent="0.25">
      <c r="B1421" s="6"/>
      <c r="C1421" s="7"/>
      <c r="D1421"/>
      <c r="E1421"/>
      <c r="F1421"/>
      <c r="G1421"/>
      <c r="H1421"/>
      <c r="I1421"/>
      <c r="J1421"/>
      <c r="K1421"/>
      <c r="L1421"/>
    </row>
    <row r="1422" spans="2:12" s="2" customFormat="1" x14ac:dyDescent="0.25">
      <c r="B1422" s="6"/>
      <c r="C1422" s="7"/>
      <c r="D1422"/>
      <c r="E1422"/>
      <c r="F1422"/>
      <c r="G1422"/>
      <c r="H1422"/>
      <c r="I1422"/>
      <c r="J1422"/>
      <c r="K1422"/>
      <c r="L1422"/>
    </row>
    <row r="1423" spans="2:12" s="2" customFormat="1" x14ac:dyDescent="0.25">
      <c r="B1423" s="6"/>
      <c r="C1423" s="7"/>
      <c r="D1423"/>
      <c r="E1423"/>
      <c r="F1423"/>
      <c r="G1423"/>
      <c r="H1423"/>
      <c r="I1423"/>
      <c r="J1423"/>
      <c r="K1423"/>
      <c r="L1423"/>
    </row>
    <row r="1424" spans="2:12" s="2" customFormat="1" x14ac:dyDescent="0.25">
      <c r="B1424" s="6"/>
      <c r="C1424" s="7"/>
      <c r="D1424"/>
      <c r="E1424"/>
      <c r="F1424"/>
      <c r="G1424"/>
      <c r="H1424"/>
      <c r="I1424"/>
      <c r="J1424"/>
      <c r="K1424"/>
      <c r="L1424"/>
    </row>
    <row r="1425" spans="2:12" s="2" customFormat="1" x14ac:dyDescent="0.25">
      <c r="B1425" s="6"/>
      <c r="C1425" s="7"/>
      <c r="D1425"/>
      <c r="E1425"/>
      <c r="F1425"/>
      <c r="G1425"/>
      <c r="H1425"/>
      <c r="I1425"/>
      <c r="J1425"/>
      <c r="K1425"/>
      <c r="L1425"/>
    </row>
    <row r="1426" spans="2:12" s="2" customFormat="1" x14ac:dyDescent="0.25">
      <c r="B1426" s="6"/>
      <c r="C1426" s="7"/>
      <c r="D1426"/>
      <c r="E1426"/>
      <c r="F1426"/>
      <c r="G1426"/>
      <c r="H1426"/>
      <c r="I1426"/>
      <c r="J1426"/>
      <c r="K1426"/>
      <c r="L1426"/>
    </row>
    <row r="1427" spans="2:12" s="2" customFormat="1" x14ac:dyDescent="0.25">
      <c r="B1427" s="6"/>
      <c r="C1427" s="7"/>
      <c r="D1427"/>
      <c r="E1427"/>
      <c r="F1427"/>
      <c r="G1427"/>
      <c r="H1427"/>
      <c r="I1427"/>
      <c r="J1427"/>
      <c r="K1427"/>
      <c r="L1427"/>
    </row>
    <row r="1428" spans="2:12" s="2" customFormat="1" x14ac:dyDescent="0.25">
      <c r="B1428" s="6"/>
      <c r="C1428" s="7"/>
      <c r="D1428"/>
      <c r="E1428"/>
      <c r="F1428"/>
      <c r="G1428"/>
      <c r="H1428"/>
      <c r="I1428"/>
      <c r="J1428"/>
      <c r="K1428"/>
      <c r="L1428"/>
    </row>
    <row r="1429" spans="2:12" s="2" customFormat="1" x14ac:dyDescent="0.25">
      <c r="B1429" s="6"/>
      <c r="C1429" s="7"/>
      <c r="D1429"/>
      <c r="E1429"/>
      <c r="F1429"/>
      <c r="G1429"/>
      <c r="H1429"/>
      <c r="I1429"/>
      <c r="J1429"/>
      <c r="K1429"/>
      <c r="L1429"/>
    </row>
    <row r="1430" spans="2:12" s="2" customFormat="1" x14ac:dyDescent="0.25">
      <c r="B1430" s="6"/>
      <c r="C1430" s="7"/>
      <c r="D1430"/>
      <c r="E1430"/>
      <c r="F1430"/>
      <c r="G1430"/>
      <c r="H1430"/>
      <c r="I1430"/>
      <c r="J1430"/>
      <c r="K1430"/>
      <c r="L1430"/>
    </row>
    <row r="1431" spans="2:12" s="2" customFormat="1" x14ac:dyDescent="0.25">
      <c r="B1431" s="6"/>
      <c r="C1431" s="7"/>
      <c r="D1431"/>
      <c r="E1431"/>
      <c r="F1431"/>
      <c r="G1431"/>
      <c r="H1431"/>
      <c r="I1431"/>
      <c r="J1431"/>
      <c r="K1431"/>
      <c r="L1431"/>
    </row>
    <row r="1432" spans="2:12" s="2" customFormat="1" x14ac:dyDescent="0.25">
      <c r="B1432" s="6"/>
      <c r="C1432" s="7"/>
      <c r="D1432"/>
      <c r="E1432"/>
      <c r="F1432"/>
      <c r="G1432"/>
      <c r="H1432"/>
      <c r="I1432"/>
      <c r="J1432"/>
      <c r="K1432"/>
      <c r="L1432"/>
    </row>
    <row r="1433" spans="2:12" s="2" customFormat="1" x14ac:dyDescent="0.25">
      <c r="B1433" s="6"/>
      <c r="C1433" s="7"/>
      <c r="D1433"/>
      <c r="E1433"/>
      <c r="F1433"/>
      <c r="G1433"/>
      <c r="H1433"/>
      <c r="I1433"/>
      <c r="J1433"/>
      <c r="K1433"/>
      <c r="L1433"/>
    </row>
    <row r="1434" spans="2:12" s="2" customFormat="1" x14ac:dyDescent="0.25">
      <c r="B1434" s="6"/>
      <c r="C1434" s="7"/>
      <c r="D1434"/>
      <c r="E1434"/>
      <c r="F1434"/>
      <c r="G1434"/>
      <c r="H1434"/>
      <c r="I1434"/>
      <c r="J1434"/>
      <c r="K1434"/>
      <c r="L1434"/>
    </row>
    <row r="1435" spans="2:12" s="2" customFormat="1" x14ac:dyDescent="0.25">
      <c r="B1435" s="6"/>
      <c r="C1435" s="7"/>
      <c r="D1435"/>
      <c r="E1435"/>
      <c r="F1435"/>
      <c r="G1435"/>
      <c r="H1435"/>
      <c r="I1435"/>
      <c r="J1435"/>
      <c r="K1435"/>
      <c r="L1435"/>
    </row>
    <row r="1436" spans="2:12" s="2" customFormat="1" x14ac:dyDescent="0.25">
      <c r="B1436" s="6"/>
      <c r="C1436" s="7"/>
      <c r="D1436"/>
      <c r="E1436"/>
      <c r="F1436"/>
      <c r="G1436"/>
      <c r="H1436"/>
      <c r="I1436"/>
      <c r="J1436"/>
      <c r="K1436"/>
      <c r="L1436"/>
    </row>
    <row r="1437" spans="2:12" s="2" customFormat="1" x14ac:dyDescent="0.25">
      <c r="B1437" s="6"/>
      <c r="C1437" s="7"/>
      <c r="D1437"/>
      <c r="E1437"/>
      <c r="F1437"/>
      <c r="G1437"/>
      <c r="H1437"/>
      <c r="I1437"/>
      <c r="J1437"/>
      <c r="K1437"/>
      <c r="L1437"/>
    </row>
    <row r="1438" spans="2:12" s="2" customFormat="1" x14ac:dyDescent="0.25">
      <c r="B1438" s="6"/>
      <c r="C1438" s="7"/>
      <c r="D1438"/>
      <c r="E1438"/>
      <c r="F1438"/>
      <c r="G1438"/>
      <c r="H1438"/>
      <c r="I1438"/>
      <c r="J1438"/>
      <c r="K1438"/>
      <c r="L1438"/>
    </row>
    <row r="1439" spans="2:12" s="2" customFormat="1" x14ac:dyDescent="0.25">
      <c r="B1439" s="6"/>
      <c r="C1439" s="7"/>
      <c r="D1439"/>
      <c r="E1439"/>
      <c r="F1439"/>
      <c r="G1439"/>
      <c r="H1439"/>
      <c r="I1439"/>
      <c r="J1439"/>
      <c r="K1439"/>
      <c r="L1439"/>
    </row>
    <row r="1440" spans="2:12" s="2" customFormat="1" x14ac:dyDescent="0.25">
      <c r="B1440" s="6"/>
      <c r="C1440" s="7"/>
      <c r="D1440"/>
      <c r="E1440"/>
      <c r="F1440"/>
      <c r="G1440"/>
      <c r="H1440"/>
      <c r="I1440"/>
      <c r="J1440"/>
      <c r="K1440"/>
      <c r="L1440"/>
    </row>
    <row r="1441" spans="2:12" s="2" customFormat="1" x14ac:dyDescent="0.25">
      <c r="B1441" s="6"/>
      <c r="C1441" s="7"/>
      <c r="D1441"/>
      <c r="E1441"/>
      <c r="F1441"/>
      <c r="G1441"/>
      <c r="H1441"/>
      <c r="I1441"/>
      <c r="J1441"/>
      <c r="K1441"/>
      <c r="L1441"/>
    </row>
    <row r="1442" spans="2:12" s="2" customFormat="1" x14ac:dyDescent="0.25">
      <c r="B1442" s="6"/>
      <c r="C1442" s="7"/>
      <c r="D1442"/>
      <c r="E1442"/>
      <c r="F1442"/>
      <c r="G1442"/>
      <c r="H1442"/>
      <c r="I1442"/>
      <c r="J1442"/>
      <c r="K1442"/>
      <c r="L1442"/>
    </row>
    <row r="1443" spans="2:12" s="2" customFormat="1" x14ac:dyDescent="0.25">
      <c r="B1443" s="6"/>
      <c r="C1443" s="7"/>
      <c r="D1443"/>
      <c r="E1443"/>
      <c r="F1443"/>
      <c r="G1443"/>
      <c r="H1443"/>
      <c r="I1443"/>
      <c r="J1443"/>
      <c r="K1443"/>
      <c r="L1443"/>
    </row>
    <row r="1444" spans="2:12" s="2" customFormat="1" x14ac:dyDescent="0.25">
      <c r="B1444" s="6"/>
      <c r="C1444" s="7"/>
      <c r="D1444"/>
      <c r="E1444"/>
      <c r="F1444"/>
      <c r="G1444"/>
      <c r="H1444"/>
      <c r="I1444"/>
      <c r="J1444"/>
      <c r="K1444"/>
      <c r="L1444"/>
    </row>
    <row r="1445" spans="2:12" s="2" customFormat="1" x14ac:dyDescent="0.25">
      <c r="B1445" s="6"/>
      <c r="C1445" s="7"/>
      <c r="D1445"/>
      <c r="E1445"/>
      <c r="F1445"/>
      <c r="G1445"/>
      <c r="H1445"/>
      <c r="I1445"/>
      <c r="J1445"/>
      <c r="K1445"/>
      <c r="L1445"/>
    </row>
    <row r="1446" spans="2:12" s="2" customFormat="1" x14ac:dyDescent="0.25">
      <c r="B1446" s="6"/>
      <c r="C1446" s="7"/>
      <c r="D1446"/>
      <c r="E1446"/>
      <c r="F1446"/>
      <c r="G1446"/>
      <c r="H1446"/>
      <c r="I1446"/>
      <c r="J1446"/>
      <c r="K1446"/>
      <c r="L1446"/>
    </row>
    <row r="1447" spans="2:12" s="2" customFormat="1" x14ac:dyDescent="0.25">
      <c r="B1447" s="6"/>
      <c r="C1447" s="7"/>
      <c r="D1447"/>
      <c r="E1447"/>
      <c r="F1447"/>
      <c r="G1447"/>
      <c r="H1447"/>
      <c r="I1447"/>
      <c r="J1447"/>
      <c r="K1447"/>
      <c r="L1447"/>
    </row>
    <row r="1448" spans="2:12" s="2" customFormat="1" x14ac:dyDescent="0.25">
      <c r="B1448" s="6"/>
      <c r="C1448" s="7"/>
      <c r="D1448"/>
      <c r="E1448"/>
      <c r="F1448"/>
      <c r="G1448"/>
      <c r="H1448"/>
      <c r="I1448"/>
      <c r="J1448"/>
      <c r="K1448"/>
      <c r="L1448"/>
    </row>
    <row r="1449" spans="2:12" s="2" customFormat="1" x14ac:dyDescent="0.25">
      <c r="B1449" s="6"/>
      <c r="C1449" s="7"/>
      <c r="D1449"/>
      <c r="E1449"/>
      <c r="F1449"/>
      <c r="G1449"/>
      <c r="H1449"/>
      <c r="I1449"/>
      <c r="J1449"/>
      <c r="K1449"/>
      <c r="L1449"/>
    </row>
    <row r="1450" spans="2:12" s="2" customFormat="1" x14ac:dyDescent="0.25">
      <c r="B1450" s="6"/>
      <c r="C1450" s="7"/>
      <c r="D1450"/>
      <c r="E1450"/>
      <c r="F1450"/>
      <c r="G1450"/>
      <c r="H1450"/>
      <c r="I1450"/>
      <c r="J1450"/>
      <c r="K1450"/>
      <c r="L1450"/>
    </row>
    <row r="1451" spans="2:12" s="2" customFormat="1" x14ac:dyDescent="0.25">
      <c r="B1451" s="6"/>
      <c r="C1451" s="7"/>
      <c r="D1451"/>
      <c r="E1451"/>
      <c r="F1451"/>
      <c r="G1451"/>
      <c r="H1451"/>
      <c r="I1451"/>
      <c r="J1451"/>
      <c r="K1451"/>
      <c r="L1451"/>
    </row>
    <row r="1452" spans="2:12" s="2" customFormat="1" x14ac:dyDescent="0.25">
      <c r="B1452" s="6"/>
      <c r="C1452" s="7"/>
      <c r="D1452"/>
      <c r="E1452"/>
      <c r="F1452"/>
      <c r="G1452"/>
      <c r="H1452"/>
      <c r="I1452"/>
      <c r="J1452"/>
      <c r="K1452"/>
      <c r="L1452"/>
    </row>
    <row r="1453" spans="2:12" s="2" customFormat="1" x14ac:dyDescent="0.25">
      <c r="B1453" s="6"/>
      <c r="C1453" s="7"/>
      <c r="D1453"/>
      <c r="E1453"/>
      <c r="F1453"/>
      <c r="G1453"/>
      <c r="H1453"/>
      <c r="I1453"/>
      <c r="J1453"/>
      <c r="K1453"/>
      <c r="L1453"/>
    </row>
    <row r="1454" spans="2:12" s="2" customFormat="1" x14ac:dyDescent="0.25">
      <c r="B1454" s="6"/>
      <c r="C1454" s="7"/>
      <c r="D1454"/>
      <c r="E1454"/>
      <c r="F1454"/>
      <c r="G1454"/>
      <c r="H1454"/>
      <c r="I1454"/>
      <c r="J1454"/>
      <c r="K1454"/>
      <c r="L1454"/>
    </row>
    <row r="1455" spans="2:12" s="2" customFormat="1" x14ac:dyDescent="0.25">
      <c r="B1455" s="6"/>
      <c r="C1455" s="7"/>
      <c r="D1455"/>
      <c r="E1455"/>
      <c r="F1455"/>
      <c r="G1455"/>
      <c r="H1455"/>
      <c r="I1455"/>
      <c r="J1455"/>
      <c r="K1455"/>
      <c r="L1455"/>
    </row>
    <row r="1456" spans="2:12" s="2" customFormat="1" x14ac:dyDescent="0.25">
      <c r="B1456" s="6"/>
      <c r="C1456" s="7"/>
      <c r="D1456"/>
      <c r="E1456"/>
      <c r="F1456"/>
      <c r="G1456"/>
      <c r="H1456"/>
      <c r="I1456"/>
      <c r="J1456"/>
      <c r="K1456"/>
      <c r="L1456"/>
    </row>
    <row r="1457" spans="2:12" s="2" customFormat="1" x14ac:dyDescent="0.25">
      <c r="B1457" s="6"/>
      <c r="C1457" s="7"/>
      <c r="D1457"/>
      <c r="E1457"/>
      <c r="F1457"/>
      <c r="G1457"/>
      <c r="H1457"/>
      <c r="I1457"/>
      <c r="J1457"/>
      <c r="K1457"/>
      <c r="L1457"/>
    </row>
    <row r="1458" spans="2:12" s="2" customFormat="1" x14ac:dyDescent="0.25">
      <c r="B1458" s="6"/>
      <c r="C1458" s="7"/>
      <c r="D1458"/>
      <c r="E1458"/>
      <c r="F1458"/>
      <c r="G1458"/>
      <c r="H1458"/>
      <c r="I1458"/>
      <c r="J1458"/>
      <c r="K1458"/>
      <c r="L1458"/>
    </row>
    <row r="1459" spans="2:12" s="2" customFormat="1" x14ac:dyDescent="0.25">
      <c r="B1459" s="6"/>
      <c r="C1459" s="7"/>
      <c r="D1459"/>
      <c r="E1459"/>
      <c r="F1459"/>
      <c r="G1459"/>
      <c r="H1459"/>
      <c r="I1459"/>
      <c r="J1459"/>
      <c r="K1459"/>
      <c r="L1459"/>
    </row>
    <row r="1460" spans="2:12" s="2" customFormat="1" x14ac:dyDescent="0.25">
      <c r="B1460" s="6"/>
      <c r="C1460" s="7"/>
      <c r="D1460"/>
      <c r="E1460"/>
      <c r="F1460"/>
      <c r="G1460"/>
      <c r="H1460"/>
      <c r="I1460"/>
      <c r="J1460"/>
      <c r="K1460"/>
      <c r="L1460"/>
    </row>
    <row r="1461" spans="2:12" s="2" customFormat="1" x14ac:dyDescent="0.25">
      <c r="B1461" s="6"/>
      <c r="C1461" s="7"/>
      <c r="D1461"/>
      <c r="E1461"/>
      <c r="F1461"/>
      <c r="G1461"/>
      <c r="H1461"/>
      <c r="I1461"/>
      <c r="J1461"/>
      <c r="K1461"/>
      <c r="L1461"/>
    </row>
    <row r="1462" spans="2:12" s="2" customFormat="1" x14ac:dyDescent="0.25">
      <c r="B1462" s="6"/>
      <c r="C1462" s="7"/>
      <c r="D1462"/>
      <c r="E1462"/>
      <c r="F1462"/>
      <c r="G1462"/>
      <c r="H1462"/>
      <c r="I1462"/>
      <c r="J1462"/>
      <c r="K1462"/>
      <c r="L1462"/>
    </row>
    <row r="1463" spans="2:12" s="2" customFormat="1" x14ac:dyDescent="0.25">
      <c r="B1463" s="6"/>
      <c r="C1463" s="7"/>
      <c r="D1463"/>
      <c r="E1463"/>
      <c r="F1463"/>
      <c r="G1463"/>
      <c r="H1463"/>
      <c r="I1463"/>
      <c r="J1463"/>
      <c r="K1463"/>
      <c r="L1463"/>
    </row>
    <row r="1464" spans="2:12" s="2" customFormat="1" x14ac:dyDescent="0.25">
      <c r="B1464" s="6"/>
      <c r="C1464" s="7"/>
      <c r="D1464"/>
      <c r="E1464"/>
      <c r="F1464"/>
      <c r="G1464"/>
      <c r="H1464"/>
      <c r="I1464"/>
      <c r="J1464"/>
      <c r="K1464"/>
      <c r="L1464"/>
    </row>
    <row r="1465" spans="2:12" s="2" customFormat="1" x14ac:dyDescent="0.25">
      <c r="B1465" s="6"/>
      <c r="C1465" s="7"/>
      <c r="D1465"/>
      <c r="E1465"/>
      <c r="F1465"/>
      <c r="G1465"/>
      <c r="H1465"/>
      <c r="I1465"/>
      <c r="J1465"/>
      <c r="K1465"/>
      <c r="L1465"/>
    </row>
    <row r="1466" spans="2:12" s="2" customFormat="1" x14ac:dyDescent="0.25">
      <c r="B1466" s="6"/>
      <c r="C1466" s="7"/>
      <c r="D1466"/>
      <c r="E1466"/>
      <c r="F1466"/>
      <c r="G1466"/>
      <c r="H1466"/>
      <c r="I1466"/>
      <c r="J1466"/>
      <c r="K1466"/>
      <c r="L1466"/>
    </row>
    <row r="1467" spans="2:12" s="2" customFormat="1" x14ac:dyDescent="0.25">
      <c r="B1467" s="6"/>
      <c r="C1467" s="7"/>
      <c r="D1467"/>
      <c r="E1467"/>
      <c r="F1467"/>
      <c r="G1467"/>
      <c r="H1467"/>
      <c r="I1467"/>
      <c r="J1467"/>
      <c r="K1467"/>
      <c r="L1467"/>
    </row>
    <row r="1468" spans="2:12" s="2" customFormat="1" x14ac:dyDescent="0.25">
      <c r="B1468" s="6"/>
      <c r="C1468" s="7"/>
      <c r="D1468"/>
      <c r="E1468"/>
      <c r="F1468"/>
      <c r="G1468"/>
      <c r="H1468"/>
      <c r="I1468"/>
      <c r="J1468"/>
      <c r="K1468"/>
      <c r="L1468"/>
    </row>
    <row r="1469" spans="2:12" s="2" customFormat="1" x14ac:dyDescent="0.25">
      <c r="B1469" s="6"/>
      <c r="C1469" s="7"/>
      <c r="D1469"/>
      <c r="E1469"/>
      <c r="F1469"/>
      <c r="G1469"/>
      <c r="H1469"/>
      <c r="I1469"/>
      <c r="J1469"/>
      <c r="K1469"/>
      <c r="L1469"/>
    </row>
    <row r="1470" spans="2:12" s="2" customFormat="1" x14ac:dyDescent="0.25">
      <c r="B1470" s="6"/>
      <c r="C1470" s="7"/>
      <c r="D1470"/>
      <c r="E1470"/>
      <c r="F1470"/>
      <c r="G1470"/>
      <c r="H1470"/>
      <c r="I1470"/>
      <c r="J1470"/>
      <c r="K1470"/>
      <c r="L1470"/>
    </row>
    <row r="1471" spans="2:12" s="2" customFormat="1" x14ac:dyDescent="0.25">
      <c r="B1471" s="6"/>
      <c r="C1471" s="7"/>
      <c r="D1471"/>
      <c r="E1471"/>
      <c r="F1471"/>
      <c r="G1471"/>
      <c r="H1471"/>
      <c r="I1471"/>
      <c r="J1471"/>
      <c r="K1471"/>
      <c r="L1471"/>
    </row>
    <row r="1472" spans="2:12" s="2" customFormat="1" x14ac:dyDescent="0.25">
      <c r="B1472" s="6"/>
      <c r="C1472" s="7"/>
      <c r="D1472"/>
      <c r="E1472"/>
      <c r="F1472"/>
      <c r="G1472"/>
      <c r="H1472"/>
      <c r="I1472"/>
      <c r="J1472"/>
      <c r="K1472"/>
      <c r="L1472"/>
    </row>
    <row r="1473" spans="2:12" s="2" customFormat="1" x14ac:dyDescent="0.25">
      <c r="B1473" s="6"/>
      <c r="C1473" s="7"/>
      <c r="D1473"/>
      <c r="E1473"/>
      <c r="F1473"/>
      <c r="G1473"/>
      <c r="H1473"/>
      <c r="I1473"/>
      <c r="J1473"/>
      <c r="K1473"/>
      <c r="L1473"/>
    </row>
    <row r="1474" spans="2:12" s="2" customFormat="1" x14ac:dyDescent="0.25">
      <c r="B1474" s="6"/>
      <c r="C1474" s="7"/>
      <c r="D1474"/>
      <c r="E1474"/>
      <c r="F1474"/>
      <c r="G1474"/>
      <c r="H1474"/>
      <c r="I1474"/>
      <c r="J1474"/>
      <c r="K1474"/>
      <c r="L1474"/>
    </row>
    <row r="1475" spans="2:12" s="2" customFormat="1" x14ac:dyDescent="0.25">
      <c r="B1475" s="6"/>
      <c r="C1475" s="7"/>
      <c r="D1475"/>
      <c r="E1475"/>
      <c r="F1475"/>
      <c r="G1475"/>
      <c r="H1475"/>
      <c r="I1475"/>
      <c r="J1475"/>
      <c r="K1475"/>
      <c r="L1475"/>
    </row>
    <row r="1476" spans="2:12" s="2" customFormat="1" x14ac:dyDescent="0.25">
      <c r="B1476" s="6"/>
      <c r="C1476" s="7"/>
      <c r="D1476"/>
      <c r="E1476"/>
      <c r="F1476"/>
      <c r="G1476"/>
      <c r="H1476"/>
      <c r="I1476"/>
      <c r="J1476"/>
      <c r="K1476"/>
      <c r="L1476"/>
    </row>
    <row r="1477" spans="2:12" s="2" customFormat="1" x14ac:dyDescent="0.25">
      <c r="B1477" s="6"/>
      <c r="C1477" s="7"/>
      <c r="D1477"/>
      <c r="E1477"/>
      <c r="F1477"/>
      <c r="G1477"/>
      <c r="H1477"/>
      <c r="I1477"/>
      <c r="J1477"/>
      <c r="K1477"/>
      <c r="L1477"/>
    </row>
    <row r="1478" spans="2:12" s="2" customFormat="1" x14ac:dyDescent="0.25">
      <c r="B1478" s="6"/>
      <c r="C1478" s="7"/>
      <c r="D1478"/>
      <c r="E1478"/>
      <c r="F1478"/>
      <c r="G1478"/>
      <c r="H1478"/>
      <c r="I1478"/>
      <c r="J1478"/>
      <c r="K1478"/>
      <c r="L1478"/>
    </row>
    <row r="1479" spans="2:12" s="2" customFormat="1" x14ac:dyDescent="0.25">
      <c r="B1479" s="6"/>
      <c r="C1479" s="7"/>
      <c r="D1479"/>
      <c r="E1479"/>
      <c r="F1479"/>
      <c r="G1479"/>
      <c r="H1479"/>
      <c r="I1479"/>
      <c r="J1479"/>
      <c r="K1479"/>
      <c r="L1479"/>
    </row>
    <row r="1480" spans="2:12" s="2" customFormat="1" x14ac:dyDescent="0.25">
      <c r="B1480" s="6"/>
      <c r="C1480" s="7"/>
      <c r="D1480"/>
      <c r="E1480"/>
      <c r="F1480"/>
      <c r="G1480"/>
      <c r="H1480"/>
      <c r="I1480"/>
      <c r="J1480"/>
      <c r="K1480"/>
      <c r="L1480"/>
    </row>
    <row r="1481" spans="2:12" s="2" customFormat="1" x14ac:dyDescent="0.25">
      <c r="B1481" s="6"/>
      <c r="C1481" s="7"/>
      <c r="D1481"/>
      <c r="E1481"/>
      <c r="F1481"/>
      <c r="G1481"/>
      <c r="H1481"/>
      <c r="I1481"/>
      <c r="J1481"/>
      <c r="K1481"/>
      <c r="L1481"/>
    </row>
    <row r="1482" spans="2:12" s="2" customFormat="1" x14ac:dyDescent="0.25">
      <c r="B1482" s="6"/>
      <c r="C1482" s="7"/>
      <c r="D1482"/>
      <c r="E1482"/>
      <c r="F1482"/>
      <c r="G1482"/>
      <c r="H1482"/>
      <c r="I1482"/>
      <c r="J1482"/>
      <c r="K1482"/>
      <c r="L1482"/>
    </row>
    <row r="1483" spans="2:12" s="2" customFormat="1" x14ac:dyDescent="0.25">
      <c r="B1483" s="6"/>
      <c r="C1483" s="7"/>
      <c r="D1483"/>
      <c r="E1483"/>
      <c r="F1483"/>
      <c r="G1483"/>
      <c r="H1483"/>
      <c r="I1483"/>
      <c r="J1483"/>
      <c r="K1483"/>
      <c r="L1483"/>
    </row>
    <row r="1484" spans="2:12" s="2" customFormat="1" x14ac:dyDescent="0.25">
      <c r="B1484" s="6"/>
      <c r="C1484" s="7"/>
      <c r="D1484"/>
      <c r="E1484"/>
      <c r="F1484"/>
      <c r="G1484"/>
      <c r="H1484"/>
      <c r="I1484"/>
      <c r="J1484"/>
      <c r="K1484"/>
      <c r="L1484"/>
    </row>
    <row r="1485" spans="2:12" s="2" customFormat="1" x14ac:dyDescent="0.25">
      <c r="B1485" s="6"/>
      <c r="C1485" s="7"/>
      <c r="D1485"/>
      <c r="E1485"/>
      <c r="F1485"/>
      <c r="G1485"/>
      <c r="H1485"/>
      <c r="I1485"/>
      <c r="J1485"/>
      <c r="K1485"/>
      <c r="L1485"/>
    </row>
    <row r="1486" spans="2:12" s="2" customFormat="1" x14ac:dyDescent="0.25">
      <c r="B1486" s="6"/>
      <c r="C1486" s="7"/>
      <c r="D1486"/>
      <c r="E1486"/>
      <c r="F1486"/>
      <c r="G1486"/>
      <c r="H1486"/>
      <c r="I1486"/>
      <c r="J1486"/>
      <c r="K1486"/>
      <c r="L1486"/>
    </row>
    <row r="1487" spans="2:12" s="2" customFormat="1" x14ac:dyDescent="0.25">
      <c r="B1487" s="6"/>
      <c r="C1487" s="7"/>
      <c r="D1487"/>
      <c r="E1487"/>
      <c r="F1487"/>
      <c r="G1487"/>
      <c r="H1487"/>
      <c r="I1487"/>
      <c r="J1487"/>
      <c r="K1487"/>
      <c r="L1487"/>
    </row>
    <row r="1488" spans="2:12" s="2" customFormat="1" x14ac:dyDescent="0.25">
      <c r="B1488" s="6"/>
      <c r="C1488" s="7"/>
      <c r="D1488"/>
      <c r="E1488"/>
      <c r="F1488"/>
      <c r="G1488"/>
      <c r="H1488"/>
      <c r="I1488"/>
      <c r="J1488"/>
      <c r="K1488"/>
      <c r="L1488"/>
    </row>
    <row r="1489" spans="2:12" s="2" customFormat="1" x14ac:dyDescent="0.25">
      <c r="B1489" s="6"/>
      <c r="C1489" s="7"/>
      <c r="D1489"/>
      <c r="E1489"/>
      <c r="F1489"/>
      <c r="G1489"/>
      <c r="H1489"/>
      <c r="I1489"/>
      <c r="J1489"/>
      <c r="K1489"/>
      <c r="L1489"/>
    </row>
    <row r="1490" spans="2:12" s="2" customFormat="1" x14ac:dyDescent="0.25">
      <c r="B1490" s="6"/>
      <c r="C1490" s="7"/>
      <c r="D1490"/>
      <c r="E1490"/>
      <c r="F1490"/>
      <c r="G1490"/>
      <c r="H1490"/>
      <c r="I1490"/>
      <c r="J1490"/>
      <c r="K1490"/>
      <c r="L1490"/>
    </row>
    <row r="1491" spans="2:12" s="2" customFormat="1" x14ac:dyDescent="0.25">
      <c r="B1491" s="6"/>
      <c r="C1491" s="7"/>
      <c r="D1491"/>
      <c r="E1491"/>
      <c r="F1491"/>
      <c r="G1491"/>
      <c r="H1491"/>
      <c r="I1491"/>
      <c r="J1491"/>
      <c r="K1491"/>
      <c r="L1491"/>
    </row>
    <row r="1492" spans="2:12" s="2" customFormat="1" x14ac:dyDescent="0.25">
      <c r="B1492" s="6"/>
      <c r="C1492" s="7"/>
      <c r="D1492"/>
      <c r="E1492"/>
      <c r="F1492"/>
      <c r="G1492"/>
      <c r="H1492"/>
      <c r="I1492"/>
      <c r="J1492"/>
      <c r="K1492"/>
      <c r="L1492"/>
    </row>
    <row r="1493" spans="2:12" s="2" customFormat="1" x14ac:dyDescent="0.25">
      <c r="B1493" s="6"/>
      <c r="C1493" s="7"/>
      <c r="D1493"/>
      <c r="E1493"/>
      <c r="F1493"/>
      <c r="G1493"/>
      <c r="H1493"/>
      <c r="I1493"/>
      <c r="J1493"/>
      <c r="K1493"/>
      <c r="L1493"/>
    </row>
    <row r="1494" spans="2:12" s="2" customFormat="1" x14ac:dyDescent="0.25">
      <c r="B1494" s="6"/>
      <c r="C1494" s="7"/>
      <c r="D1494"/>
      <c r="E1494"/>
      <c r="F1494"/>
      <c r="G1494"/>
      <c r="H1494"/>
      <c r="I1494"/>
      <c r="J1494"/>
      <c r="K1494"/>
      <c r="L1494"/>
    </row>
    <row r="1495" spans="2:12" s="2" customFormat="1" x14ac:dyDescent="0.25">
      <c r="B1495" s="6"/>
      <c r="C1495" s="7"/>
      <c r="D1495"/>
      <c r="E1495"/>
      <c r="F1495"/>
      <c r="G1495"/>
      <c r="H1495"/>
      <c r="I1495"/>
      <c r="J1495"/>
      <c r="K1495"/>
      <c r="L1495"/>
    </row>
    <row r="1496" spans="2:12" s="2" customFormat="1" x14ac:dyDescent="0.25">
      <c r="B1496" s="6"/>
      <c r="C1496" s="7"/>
      <c r="D1496"/>
      <c r="E1496"/>
      <c r="F1496"/>
      <c r="G1496"/>
      <c r="H1496"/>
      <c r="I1496"/>
      <c r="J1496"/>
      <c r="K1496"/>
      <c r="L1496"/>
    </row>
    <row r="1497" spans="2:12" s="2" customFormat="1" x14ac:dyDescent="0.25">
      <c r="B1497" s="6"/>
      <c r="C1497" s="7"/>
      <c r="D1497"/>
      <c r="E1497"/>
      <c r="F1497"/>
      <c r="G1497"/>
      <c r="H1497"/>
      <c r="I1497"/>
      <c r="J1497"/>
      <c r="K1497"/>
      <c r="L1497"/>
    </row>
    <row r="1498" spans="2:12" s="2" customFormat="1" x14ac:dyDescent="0.25">
      <c r="B1498" s="6"/>
      <c r="C1498" s="7"/>
      <c r="D1498"/>
      <c r="E1498"/>
      <c r="F1498"/>
      <c r="G1498"/>
      <c r="H1498"/>
      <c r="I1498"/>
      <c r="J1498"/>
      <c r="K1498"/>
      <c r="L1498"/>
    </row>
    <row r="1499" spans="2:12" s="2" customFormat="1" x14ac:dyDescent="0.25">
      <c r="B1499" s="6"/>
      <c r="C1499" s="7"/>
      <c r="D1499"/>
      <c r="E1499"/>
      <c r="F1499"/>
      <c r="G1499"/>
      <c r="H1499"/>
      <c r="I1499"/>
      <c r="J1499"/>
      <c r="K1499"/>
      <c r="L1499"/>
    </row>
    <row r="1500" spans="2:12" s="2" customFormat="1" x14ac:dyDescent="0.25">
      <c r="B1500" s="6"/>
      <c r="C1500" s="7"/>
      <c r="D1500"/>
      <c r="E1500"/>
      <c r="F1500"/>
      <c r="G1500"/>
      <c r="H1500"/>
      <c r="I1500"/>
      <c r="J1500"/>
      <c r="K1500"/>
      <c r="L1500"/>
    </row>
    <row r="1501" spans="2:12" s="2" customFormat="1" x14ac:dyDescent="0.25">
      <c r="B1501" s="6"/>
      <c r="C1501" s="7"/>
      <c r="D1501"/>
      <c r="E1501"/>
      <c r="F1501"/>
      <c r="G1501"/>
      <c r="H1501"/>
      <c r="I1501"/>
      <c r="J1501"/>
      <c r="K1501"/>
      <c r="L1501"/>
    </row>
    <row r="1502" spans="2:12" s="2" customFormat="1" x14ac:dyDescent="0.25">
      <c r="B1502" s="6"/>
      <c r="C1502" s="7"/>
      <c r="D1502"/>
      <c r="E1502"/>
      <c r="F1502"/>
      <c r="G1502"/>
      <c r="H1502"/>
      <c r="I1502"/>
      <c r="J1502"/>
      <c r="K1502"/>
      <c r="L1502"/>
    </row>
    <row r="1503" spans="2:12" s="2" customFormat="1" x14ac:dyDescent="0.25">
      <c r="B1503" s="6"/>
      <c r="C1503" s="7"/>
      <c r="D1503"/>
      <c r="E1503"/>
      <c r="F1503"/>
      <c r="G1503"/>
      <c r="H1503"/>
      <c r="I1503"/>
      <c r="J1503"/>
      <c r="K1503"/>
      <c r="L1503"/>
    </row>
    <row r="1504" spans="2:12" s="2" customFormat="1" x14ac:dyDescent="0.25">
      <c r="B1504" s="6"/>
      <c r="C1504" s="7"/>
      <c r="D1504"/>
      <c r="E1504"/>
      <c r="F1504"/>
      <c r="G1504"/>
      <c r="H1504"/>
      <c r="I1504"/>
      <c r="J1504"/>
      <c r="K1504"/>
      <c r="L1504"/>
    </row>
    <row r="1505" spans="2:12" s="2" customFormat="1" x14ac:dyDescent="0.25">
      <c r="B1505" s="6"/>
      <c r="C1505" s="7"/>
      <c r="D1505"/>
      <c r="E1505"/>
      <c r="F1505"/>
      <c r="G1505"/>
      <c r="H1505"/>
      <c r="I1505"/>
      <c r="J1505"/>
      <c r="K1505"/>
      <c r="L1505"/>
    </row>
    <row r="1506" spans="2:12" s="2" customFormat="1" x14ac:dyDescent="0.25">
      <c r="B1506" s="6"/>
      <c r="C1506" s="7"/>
      <c r="D1506"/>
      <c r="E1506"/>
      <c r="F1506"/>
      <c r="G1506"/>
      <c r="H1506"/>
      <c r="I1506"/>
      <c r="J1506"/>
      <c r="K1506"/>
      <c r="L1506"/>
    </row>
    <row r="1507" spans="2:12" s="2" customFormat="1" x14ac:dyDescent="0.25">
      <c r="B1507" s="6"/>
      <c r="C1507" s="7"/>
      <c r="D1507"/>
      <c r="E1507"/>
      <c r="F1507"/>
      <c r="G1507"/>
      <c r="H1507"/>
      <c r="I1507"/>
      <c r="J1507"/>
      <c r="K1507"/>
      <c r="L1507"/>
    </row>
    <row r="1508" spans="2:12" s="2" customFormat="1" x14ac:dyDescent="0.25">
      <c r="B1508" s="6"/>
      <c r="C1508" s="7"/>
      <c r="D1508"/>
      <c r="E1508"/>
      <c r="F1508"/>
      <c r="G1508"/>
      <c r="H1508"/>
      <c r="I1508"/>
      <c r="J1508"/>
      <c r="K1508"/>
      <c r="L1508"/>
    </row>
    <row r="1509" spans="2:12" s="2" customFormat="1" x14ac:dyDescent="0.25">
      <c r="B1509" s="6"/>
      <c r="C1509" s="7"/>
      <c r="D1509"/>
      <c r="E1509"/>
      <c r="F1509"/>
      <c r="G1509"/>
      <c r="H1509"/>
      <c r="I1509"/>
      <c r="J1509"/>
      <c r="K1509"/>
      <c r="L1509"/>
    </row>
    <row r="1510" spans="2:12" s="2" customFormat="1" x14ac:dyDescent="0.25">
      <c r="B1510" s="6"/>
      <c r="C1510" s="7"/>
      <c r="D1510"/>
      <c r="E1510"/>
      <c r="F1510"/>
      <c r="G1510"/>
      <c r="H1510"/>
      <c r="I1510"/>
      <c r="J1510"/>
      <c r="K1510"/>
      <c r="L1510"/>
    </row>
    <row r="1511" spans="2:12" s="2" customFormat="1" x14ac:dyDescent="0.25">
      <c r="B1511" s="6"/>
      <c r="C1511" s="7"/>
      <c r="D1511"/>
      <c r="E1511"/>
      <c r="F1511"/>
      <c r="G1511"/>
      <c r="H1511"/>
      <c r="I1511"/>
      <c r="J1511"/>
      <c r="K1511"/>
      <c r="L1511"/>
    </row>
    <row r="1512" spans="2:12" s="2" customFormat="1" x14ac:dyDescent="0.25">
      <c r="B1512" s="6"/>
      <c r="C1512" s="7"/>
      <c r="D1512"/>
      <c r="E1512"/>
      <c r="F1512"/>
      <c r="G1512"/>
      <c r="H1512"/>
      <c r="I1512"/>
      <c r="J1512"/>
      <c r="K1512"/>
      <c r="L1512"/>
    </row>
    <row r="1513" spans="2:12" s="2" customFormat="1" x14ac:dyDescent="0.25">
      <c r="B1513" s="6"/>
      <c r="C1513" s="7"/>
      <c r="D1513"/>
      <c r="E1513"/>
      <c r="F1513"/>
      <c r="G1513"/>
      <c r="H1513"/>
      <c r="I1513"/>
      <c r="J1513"/>
      <c r="K1513"/>
      <c r="L1513"/>
    </row>
    <row r="1514" spans="2:12" s="2" customFormat="1" x14ac:dyDescent="0.25">
      <c r="B1514" s="6"/>
      <c r="C1514" s="7"/>
      <c r="D1514"/>
      <c r="E1514"/>
      <c r="F1514"/>
      <c r="G1514"/>
      <c r="H1514"/>
      <c r="I1514"/>
      <c r="J1514"/>
      <c r="K1514"/>
      <c r="L1514"/>
    </row>
    <row r="1515" spans="2:12" s="2" customFormat="1" x14ac:dyDescent="0.25">
      <c r="B1515" s="6"/>
      <c r="C1515" s="7"/>
      <c r="D1515"/>
      <c r="E1515"/>
      <c r="F1515"/>
      <c r="G1515"/>
      <c r="H1515"/>
      <c r="I1515"/>
      <c r="J1515"/>
      <c r="K1515"/>
      <c r="L1515"/>
    </row>
    <row r="1516" spans="2:12" s="2" customFormat="1" x14ac:dyDescent="0.25">
      <c r="B1516" s="6"/>
      <c r="C1516" s="7"/>
      <c r="D1516"/>
      <c r="E1516"/>
      <c r="F1516"/>
      <c r="G1516"/>
      <c r="H1516"/>
      <c r="I1516"/>
      <c r="J1516"/>
      <c r="K1516"/>
      <c r="L1516"/>
    </row>
    <row r="1517" spans="2:12" s="2" customFormat="1" x14ac:dyDescent="0.25">
      <c r="B1517" s="6"/>
      <c r="C1517" s="7"/>
      <c r="D1517"/>
      <c r="E1517"/>
      <c r="F1517"/>
      <c r="G1517"/>
      <c r="H1517"/>
      <c r="I1517"/>
      <c r="J1517"/>
      <c r="K1517"/>
      <c r="L1517"/>
    </row>
    <row r="1518" spans="2:12" s="2" customFormat="1" x14ac:dyDescent="0.25">
      <c r="B1518" s="6"/>
      <c r="C1518" s="7"/>
      <c r="D1518"/>
      <c r="E1518"/>
      <c r="F1518"/>
      <c r="G1518"/>
      <c r="H1518"/>
      <c r="I1518"/>
      <c r="J1518"/>
      <c r="K1518"/>
      <c r="L1518"/>
    </row>
    <row r="1519" spans="2:12" s="2" customFormat="1" x14ac:dyDescent="0.25">
      <c r="B1519" s="6"/>
      <c r="C1519" s="7"/>
      <c r="D1519"/>
      <c r="E1519"/>
      <c r="F1519"/>
      <c r="G1519"/>
      <c r="H1519"/>
      <c r="I1519"/>
      <c r="J1519"/>
      <c r="K1519"/>
      <c r="L1519"/>
    </row>
    <row r="1520" spans="2:12" s="2" customFormat="1" x14ac:dyDescent="0.25">
      <c r="B1520" s="6"/>
      <c r="C1520" s="7"/>
      <c r="D1520"/>
      <c r="E1520"/>
      <c r="F1520"/>
      <c r="G1520"/>
      <c r="H1520"/>
      <c r="I1520"/>
      <c r="J1520"/>
      <c r="K1520"/>
      <c r="L1520"/>
    </row>
    <row r="1521" spans="2:12" s="2" customFormat="1" x14ac:dyDescent="0.25">
      <c r="B1521" s="6"/>
      <c r="C1521" s="7"/>
      <c r="D1521"/>
      <c r="E1521"/>
      <c r="F1521"/>
      <c r="G1521"/>
      <c r="H1521"/>
      <c r="I1521"/>
      <c r="J1521"/>
      <c r="K1521"/>
      <c r="L1521"/>
    </row>
    <row r="1522" spans="2:12" s="2" customFormat="1" x14ac:dyDescent="0.25">
      <c r="B1522" s="6"/>
      <c r="C1522" s="7"/>
      <c r="D1522"/>
      <c r="E1522"/>
      <c r="F1522"/>
      <c r="G1522"/>
      <c r="H1522"/>
      <c r="I1522"/>
      <c r="J1522"/>
      <c r="K1522"/>
      <c r="L1522"/>
    </row>
    <row r="1523" spans="2:12" s="2" customFormat="1" x14ac:dyDescent="0.25">
      <c r="B1523" s="6"/>
      <c r="C1523" s="7"/>
      <c r="D1523"/>
      <c r="E1523"/>
      <c r="F1523"/>
      <c r="G1523"/>
      <c r="H1523"/>
      <c r="I1523"/>
      <c r="J1523"/>
      <c r="K1523"/>
      <c r="L1523"/>
    </row>
    <row r="1524" spans="2:12" s="2" customFormat="1" x14ac:dyDescent="0.25">
      <c r="B1524" s="6"/>
      <c r="C1524" s="7"/>
      <c r="D1524"/>
      <c r="E1524"/>
      <c r="F1524"/>
      <c r="G1524"/>
      <c r="H1524"/>
      <c r="I1524"/>
      <c r="J1524"/>
      <c r="K1524"/>
      <c r="L1524"/>
    </row>
    <row r="1525" spans="2:12" s="2" customFormat="1" x14ac:dyDescent="0.25">
      <c r="B1525" s="6"/>
      <c r="C1525" s="7"/>
      <c r="D1525"/>
      <c r="E1525"/>
      <c r="F1525"/>
      <c r="G1525"/>
      <c r="H1525"/>
      <c r="I1525"/>
      <c r="J1525"/>
      <c r="K1525"/>
      <c r="L1525"/>
    </row>
    <row r="1526" spans="2:12" s="2" customFormat="1" x14ac:dyDescent="0.25">
      <c r="B1526" s="6"/>
      <c r="C1526" s="7"/>
      <c r="D1526"/>
      <c r="E1526"/>
      <c r="F1526"/>
      <c r="G1526"/>
      <c r="H1526"/>
      <c r="I1526"/>
      <c r="J1526"/>
      <c r="K1526"/>
      <c r="L1526"/>
    </row>
    <row r="1527" spans="2:12" s="2" customFormat="1" x14ac:dyDescent="0.25">
      <c r="B1527" s="6"/>
      <c r="C1527" s="7"/>
      <c r="D1527"/>
      <c r="E1527"/>
      <c r="F1527"/>
      <c r="G1527"/>
      <c r="H1527"/>
      <c r="I1527"/>
      <c r="J1527"/>
      <c r="K1527"/>
      <c r="L1527"/>
    </row>
    <row r="1528" spans="2:12" s="2" customFormat="1" x14ac:dyDescent="0.25">
      <c r="B1528" s="6"/>
      <c r="C1528" s="7"/>
      <c r="D1528"/>
      <c r="E1528"/>
      <c r="F1528"/>
      <c r="G1528"/>
      <c r="H1528"/>
      <c r="I1528"/>
      <c r="J1528"/>
      <c r="K1528"/>
      <c r="L1528"/>
    </row>
    <row r="1529" spans="2:12" s="2" customFormat="1" x14ac:dyDescent="0.25">
      <c r="B1529" s="6"/>
      <c r="C1529" s="7"/>
      <c r="D1529"/>
      <c r="E1529"/>
      <c r="F1529"/>
      <c r="G1529"/>
      <c r="H1529"/>
      <c r="I1529"/>
      <c r="J1529"/>
      <c r="K1529"/>
      <c r="L1529"/>
    </row>
    <row r="1530" spans="2:12" s="2" customFormat="1" x14ac:dyDescent="0.25">
      <c r="B1530" s="6"/>
      <c r="C1530" s="7"/>
      <c r="D1530"/>
      <c r="E1530"/>
      <c r="F1530"/>
      <c r="G1530"/>
      <c r="H1530"/>
      <c r="I1530"/>
      <c r="J1530"/>
      <c r="K1530"/>
      <c r="L1530"/>
    </row>
    <row r="1531" spans="2:12" s="2" customFormat="1" x14ac:dyDescent="0.25">
      <c r="B1531" s="6"/>
      <c r="C1531" s="7"/>
      <c r="D1531"/>
      <c r="E1531"/>
      <c r="F1531"/>
      <c r="G1531"/>
      <c r="H1531"/>
      <c r="I1531"/>
      <c r="J1531"/>
      <c r="K1531"/>
      <c r="L1531"/>
    </row>
    <row r="1532" spans="2:12" s="2" customFormat="1" x14ac:dyDescent="0.25">
      <c r="B1532" s="6"/>
      <c r="C1532" s="7"/>
      <c r="D1532"/>
      <c r="E1532"/>
      <c r="F1532"/>
      <c r="G1532"/>
      <c r="H1532"/>
      <c r="I1532"/>
      <c r="J1532"/>
      <c r="K1532"/>
      <c r="L1532"/>
    </row>
    <row r="1533" spans="2:12" s="2" customFormat="1" x14ac:dyDescent="0.25">
      <c r="B1533" s="6"/>
      <c r="C1533" s="7"/>
      <c r="D1533"/>
      <c r="E1533"/>
      <c r="F1533"/>
      <c r="G1533"/>
      <c r="H1533"/>
      <c r="I1533"/>
      <c r="J1533"/>
      <c r="K1533"/>
      <c r="L1533"/>
    </row>
    <row r="1534" spans="2:12" s="2" customFormat="1" x14ac:dyDescent="0.25">
      <c r="B1534" s="6"/>
      <c r="C1534" s="7"/>
      <c r="D1534"/>
      <c r="E1534"/>
      <c r="F1534"/>
      <c r="G1534"/>
      <c r="H1534"/>
      <c r="I1534"/>
      <c r="J1534"/>
      <c r="K1534"/>
      <c r="L1534"/>
    </row>
    <row r="1535" spans="2:12" s="2" customFormat="1" x14ac:dyDescent="0.25">
      <c r="B1535" s="6"/>
      <c r="C1535" s="7"/>
      <c r="D1535"/>
      <c r="E1535"/>
      <c r="F1535"/>
      <c r="G1535"/>
      <c r="H1535"/>
      <c r="I1535"/>
      <c r="J1535"/>
      <c r="K1535"/>
      <c r="L1535"/>
    </row>
    <row r="1536" spans="2:12" s="2" customFormat="1" x14ac:dyDescent="0.25">
      <c r="B1536" s="6"/>
      <c r="C1536" s="7"/>
      <c r="D1536"/>
      <c r="E1536"/>
      <c r="F1536"/>
      <c r="G1536"/>
      <c r="H1536"/>
      <c r="I1536"/>
      <c r="J1536"/>
      <c r="K1536"/>
      <c r="L1536"/>
    </row>
    <row r="1537" spans="2:12" s="2" customFormat="1" x14ac:dyDescent="0.25">
      <c r="B1537" s="6"/>
      <c r="C1537" s="7"/>
      <c r="D1537"/>
      <c r="E1537"/>
      <c r="F1537"/>
      <c r="G1537"/>
      <c r="H1537"/>
      <c r="I1537"/>
      <c r="J1537"/>
      <c r="K1537"/>
      <c r="L1537"/>
    </row>
    <row r="1538" spans="2:12" s="2" customFormat="1" x14ac:dyDescent="0.25">
      <c r="B1538" s="6"/>
      <c r="C1538" s="7"/>
      <c r="D1538"/>
      <c r="E1538"/>
      <c r="F1538"/>
      <c r="G1538"/>
      <c r="H1538"/>
      <c r="I1538"/>
      <c r="J1538"/>
      <c r="K1538"/>
      <c r="L1538"/>
    </row>
    <row r="1539" spans="2:12" s="2" customFormat="1" x14ac:dyDescent="0.25">
      <c r="B1539" s="6"/>
      <c r="C1539" s="7"/>
      <c r="D1539"/>
      <c r="E1539"/>
      <c r="F1539"/>
      <c r="G1539"/>
      <c r="H1539"/>
      <c r="I1539"/>
      <c r="J1539"/>
      <c r="K1539"/>
      <c r="L1539"/>
    </row>
    <row r="1540" spans="2:12" s="2" customFormat="1" x14ac:dyDescent="0.25">
      <c r="B1540" s="6"/>
      <c r="C1540" s="7"/>
      <c r="D1540"/>
      <c r="E1540"/>
      <c r="F1540"/>
      <c r="G1540"/>
      <c r="H1540"/>
      <c r="I1540"/>
      <c r="J1540"/>
      <c r="K1540"/>
      <c r="L1540"/>
    </row>
    <row r="1541" spans="2:12" s="2" customFormat="1" x14ac:dyDescent="0.25">
      <c r="B1541" s="6"/>
      <c r="C1541" s="7"/>
      <c r="D1541"/>
      <c r="E1541"/>
      <c r="F1541"/>
      <c r="G1541"/>
      <c r="H1541"/>
      <c r="I1541"/>
      <c r="J1541"/>
      <c r="K1541"/>
      <c r="L1541"/>
    </row>
    <row r="1542" spans="2:12" s="2" customFormat="1" x14ac:dyDescent="0.25">
      <c r="B1542" s="6"/>
      <c r="C1542" s="7"/>
      <c r="D1542"/>
      <c r="E1542"/>
      <c r="F1542"/>
      <c r="G1542"/>
      <c r="H1542"/>
      <c r="I1542"/>
      <c r="J1542"/>
      <c r="K1542"/>
      <c r="L1542"/>
    </row>
    <row r="1543" spans="2:12" s="2" customFormat="1" x14ac:dyDescent="0.25">
      <c r="B1543" s="6"/>
      <c r="C1543" s="7"/>
      <c r="D1543"/>
      <c r="E1543"/>
      <c r="F1543"/>
      <c r="G1543"/>
      <c r="H1543"/>
      <c r="I1543"/>
      <c r="J1543"/>
      <c r="K1543"/>
      <c r="L1543"/>
    </row>
    <row r="1544" spans="2:12" s="2" customFormat="1" x14ac:dyDescent="0.25">
      <c r="B1544" s="6"/>
      <c r="C1544" s="7"/>
      <c r="D1544"/>
      <c r="E1544"/>
      <c r="F1544"/>
      <c r="G1544"/>
      <c r="H1544"/>
      <c r="I1544"/>
      <c r="J1544"/>
      <c r="K1544"/>
      <c r="L1544"/>
    </row>
    <row r="1545" spans="2:12" s="2" customFormat="1" x14ac:dyDescent="0.25">
      <c r="B1545" s="6"/>
      <c r="C1545" s="7"/>
      <c r="D1545"/>
      <c r="E1545"/>
      <c r="F1545"/>
      <c r="G1545"/>
      <c r="H1545"/>
      <c r="I1545"/>
      <c r="J1545"/>
      <c r="K1545"/>
      <c r="L1545"/>
    </row>
    <row r="1546" spans="2:12" s="2" customFormat="1" x14ac:dyDescent="0.25">
      <c r="B1546" s="6"/>
      <c r="C1546" s="7"/>
      <c r="D1546"/>
      <c r="E1546"/>
      <c r="F1546"/>
      <c r="G1546"/>
      <c r="H1546"/>
      <c r="I1546"/>
      <c r="J1546"/>
      <c r="K1546"/>
      <c r="L1546"/>
    </row>
    <row r="1547" spans="2:12" s="2" customFormat="1" x14ac:dyDescent="0.25">
      <c r="B1547" s="6"/>
      <c r="C1547" s="7"/>
      <c r="D1547"/>
      <c r="E1547"/>
      <c r="F1547"/>
      <c r="G1547"/>
      <c r="H1547"/>
      <c r="I1547"/>
      <c r="J1547"/>
      <c r="K1547"/>
      <c r="L1547"/>
    </row>
    <row r="1548" spans="2:12" s="2" customFormat="1" x14ac:dyDescent="0.25">
      <c r="B1548" s="6"/>
      <c r="C1548" s="7"/>
      <c r="D1548"/>
      <c r="E1548"/>
      <c r="F1548"/>
      <c r="G1548"/>
      <c r="H1548"/>
      <c r="I1548"/>
      <c r="J1548"/>
      <c r="K1548"/>
      <c r="L1548"/>
    </row>
    <row r="1549" spans="2:12" s="2" customFormat="1" x14ac:dyDescent="0.25">
      <c r="B1549" s="6"/>
      <c r="C1549" s="7"/>
      <c r="D1549"/>
      <c r="E1549"/>
      <c r="F1549"/>
      <c r="G1549"/>
      <c r="H1549"/>
      <c r="I1549"/>
      <c r="J1549"/>
      <c r="K1549"/>
      <c r="L1549"/>
    </row>
    <row r="1550" spans="2:12" s="2" customFormat="1" x14ac:dyDescent="0.25">
      <c r="B1550" s="6"/>
      <c r="C1550" s="7"/>
      <c r="D1550"/>
      <c r="E1550"/>
      <c r="F1550"/>
      <c r="G1550"/>
      <c r="H1550"/>
      <c r="I1550"/>
      <c r="J1550"/>
      <c r="K1550"/>
      <c r="L1550"/>
    </row>
    <row r="1551" spans="2:12" s="2" customFormat="1" x14ac:dyDescent="0.25">
      <c r="B1551" s="6"/>
      <c r="C1551" s="7"/>
      <c r="D1551"/>
      <c r="E1551"/>
      <c r="F1551"/>
      <c r="G1551"/>
      <c r="H1551"/>
      <c r="I1551"/>
      <c r="J1551"/>
      <c r="K1551"/>
      <c r="L1551"/>
    </row>
    <row r="1552" spans="2:12" s="2" customFormat="1" x14ac:dyDescent="0.25">
      <c r="B1552" s="6"/>
      <c r="C1552" s="7"/>
      <c r="D1552"/>
      <c r="E1552"/>
      <c r="F1552"/>
      <c r="G1552"/>
      <c r="H1552"/>
      <c r="I1552"/>
      <c r="J1552"/>
      <c r="K1552"/>
      <c r="L1552"/>
    </row>
    <row r="1553" spans="2:12" s="2" customFormat="1" x14ac:dyDescent="0.25">
      <c r="B1553" s="6"/>
      <c r="C1553" s="7"/>
      <c r="D1553"/>
      <c r="E1553"/>
      <c r="F1553"/>
      <c r="G1553"/>
      <c r="H1553"/>
      <c r="I1553"/>
      <c r="J1553"/>
      <c r="K1553"/>
      <c r="L1553"/>
    </row>
    <row r="1554" spans="2:12" s="2" customFormat="1" x14ac:dyDescent="0.25">
      <c r="B1554" s="6"/>
      <c r="C1554" s="7"/>
      <c r="D1554"/>
      <c r="E1554"/>
      <c r="F1554"/>
      <c r="G1554"/>
      <c r="H1554"/>
      <c r="I1554"/>
      <c r="J1554"/>
      <c r="K1554"/>
      <c r="L1554"/>
    </row>
    <row r="1555" spans="2:12" s="2" customFormat="1" x14ac:dyDescent="0.25">
      <c r="B1555" s="6"/>
      <c r="C1555" s="7"/>
      <c r="D1555"/>
      <c r="E1555"/>
      <c r="F1555"/>
      <c r="G1555"/>
      <c r="H1555"/>
      <c r="I1555"/>
      <c r="J1555"/>
      <c r="K1555"/>
      <c r="L1555"/>
    </row>
    <row r="1556" spans="2:12" s="2" customFormat="1" x14ac:dyDescent="0.25">
      <c r="B1556" s="6"/>
      <c r="C1556" s="7"/>
      <c r="D1556"/>
      <c r="E1556"/>
      <c r="F1556"/>
      <c r="G1556"/>
      <c r="H1556"/>
      <c r="I1556"/>
      <c r="J1556"/>
      <c r="K1556"/>
      <c r="L1556"/>
    </row>
    <row r="1557" spans="2:12" s="2" customFormat="1" x14ac:dyDescent="0.25">
      <c r="B1557" s="6"/>
      <c r="C1557" s="7"/>
      <c r="D1557"/>
      <c r="E1557"/>
      <c r="F1557"/>
      <c r="G1557"/>
      <c r="H1557"/>
      <c r="I1557"/>
      <c r="J1557"/>
      <c r="K1557"/>
      <c r="L1557"/>
    </row>
    <row r="1558" spans="2:12" s="2" customFormat="1" x14ac:dyDescent="0.25">
      <c r="B1558" s="6"/>
      <c r="C1558" s="7"/>
      <c r="D1558"/>
      <c r="E1558"/>
      <c r="F1558"/>
      <c r="G1558"/>
      <c r="H1558"/>
      <c r="I1558"/>
      <c r="J1558"/>
      <c r="K1558"/>
      <c r="L1558"/>
    </row>
    <row r="1559" spans="2:12" s="2" customFormat="1" x14ac:dyDescent="0.25">
      <c r="B1559" s="6"/>
      <c r="C1559" s="7"/>
      <c r="D1559"/>
      <c r="E1559"/>
      <c r="F1559"/>
      <c r="G1559"/>
      <c r="H1559"/>
      <c r="I1559"/>
      <c r="J1559"/>
      <c r="K1559"/>
      <c r="L1559"/>
    </row>
    <row r="1560" spans="2:12" s="2" customFormat="1" x14ac:dyDescent="0.25">
      <c r="B1560" s="6"/>
      <c r="C1560" s="7"/>
      <c r="D1560"/>
      <c r="E1560"/>
      <c r="F1560"/>
      <c r="G1560"/>
      <c r="H1560"/>
      <c r="I1560"/>
      <c r="J1560"/>
      <c r="K1560"/>
      <c r="L1560"/>
    </row>
    <row r="1561" spans="2:12" s="2" customFormat="1" x14ac:dyDescent="0.25">
      <c r="B1561" s="6"/>
      <c r="C1561" s="7"/>
      <c r="D1561"/>
      <c r="E1561"/>
      <c r="F1561"/>
      <c r="G1561"/>
      <c r="H1561"/>
      <c r="I1561"/>
      <c r="J1561"/>
      <c r="K1561"/>
      <c r="L1561"/>
    </row>
    <row r="1562" spans="2:12" s="2" customFormat="1" x14ac:dyDescent="0.25">
      <c r="B1562" s="6"/>
      <c r="C1562" s="7"/>
      <c r="D1562"/>
      <c r="E1562"/>
      <c r="F1562"/>
      <c r="G1562"/>
      <c r="H1562"/>
      <c r="I1562"/>
      <c r="J1562"/>
      <c r="K1562"/>
      <c r="L1562"/>
    </row>
    <row r="1563" spans="2:12" s="2" customFormat="1" x14ac:dyDescent="0.25">
      <c r="B1563" s="6"/>
      <c r="C1563" s="7"/>
      <c r="D1563"/>
      <c r="E1563"/>
      <c r="F1563"/>
      <c r="G1563"/>
      <c r="H1563"/>
      <c r="I1563"/>
      <c r="J1563"/>
      <c r="K1563"/>
      <c r="L1563"/>
    </row>
    <row r="1564" spans="2:12" s="2" customFormat="1" x14ac:dyDescent="0.25">
      <c r="B1564" s="6"/>
      <c r="C1564" s="7"/>
      <c r="D1564"/>
      <c r="E1564"/>
      <c r="F1564"/>
      <c r="G1564"/>
      <c r="H1564"/>
      <c r="I1564"/>
      <c r="J1564"/>
      <c r="K1564"/>
      <c r="L1564"/>
    </row>
    <row r="1565" spans="2:12" s="2" customFormat="1" x14ac:dyDescent="0.25">
      <c r="B1565" s="6"/>
      <c r="C1565" s="7"/>
      <c r="D1565"/>
      <c r="E1565"/>
      <c r="F1565"/>
      <c r="G1565"/>
      <c r="H1565"/>
      <c r="I1565"/>
      <c r="J1565"/>
      <c r="K1565"/>
      <c r="L1565"/>
    </row>
    <row r="1566" spans="2:12" s="2" customFormat="1" x14ac:dyDescent="0.25">
      <c r="B1566" s="6"/>
      <c r="C1566" s="7"/>
      <c r="D1566"/>
      <c r="E1566"/>
      <c r="F1566"/>
      <c r="G1566"/>
      <c r="H1566"/>
      <c r="I1566"/>
      <c r="J1566"/>
      <c r="K1566"/>
      <c r="L1566"/>
    </row>
    <row r="1567" spans="2:12" s="2" customFormat="1" x14ac:dyDescent="0.25">
      <c r="B1567" s="6"/>
      <c r="C1567" s="7"/>
      <c r="D1567"/>
      <c r="E1567"/>
      <c r="F1567"/>
      <c r="G1567"/>
      <c r="H1567"/>
      <c r="I1567"/>
      <c r="J1567"/>
      <c r="K1567"/>
      <c r="L1567"/>
    </row>
    <row r="1568" spans="2:12" s="2" customFormat="1" x14ac:dyDescent="0.25">
      <c r="B1568" s="6"/>
      <c r="C1568" s="7"/>
      <c r="D1568"/>
      <c r="E1568"/>
      <c r="F1568"/>
      <c r="G1568"/>
      <c r="H1568"/>
      <c r="I1568"/>
      <c r="J1568"/>
      <c r="K1568"/>
      <c r="L1568"/>
    </row>
    <row r="1569" spans="2:12" s="2" customFormat="1" x14ac:dyDescent="0.25">
      <c r="B1569" s="6"/>
      <c r="C1569" s="7"/>
      <c r="D1569"/>
      <c r="E1569"/>
      <c r="F1569"/>
      <c r="G1569"/>
      <c r="H1569"/>
      <c r="I1569"/>
      <c r="J1569"/>
      <c r="K1569"/>
      <c r="L1569"/>
    </row>
    <row r="1570" spans="2:12" s="2" customFormat="1" x14ac:dyDescent="0.25">
      <c r="B1570" s="6"/>
      <c r="C1570" s="7"/>
      <c r="D1570"/>
      <c r="E1570"/>
      <c r="F1570"/>
      <c r="G1570"/>
      <c r="H1570"/>
      <c r="I1570"/>
      <c r="J1570"/>
      <c r="K1570"/>
      <c r="L1570"/>
    </row>
    <row r="1571" spans="2:12" s="2" customFormat="1" x14ac:dyDescent="0.25">
      <c r="B1571" s="6"/>
      <c r="C1571" s="7"/>
      <c r="D1571"/>
      <c r="E1571"/>
      <c r="F1571"/>
      <c r="G1571"/>
      <c r="H1571"/>
      <c r="I1571"/>
      <c r="J1571"/>
      <c r="K1571"/>
      <c r="L1571"/>
    </row>
    <row r="1572" spans="2:12" s="2" customFormat="1" x14ac:dyDescent="0.25">
      <c r="B1572" s="6"/>
      <c r="C1572" s="7"/>
      <c r="D1572"/>
      <c r="E1572"/>
      <c r="F1572"/>
      <c r="G1572"/>
      <c r="H1572"/>
      <c r="I1572"/>
      <c r="J1572"/>
      <c r="K1572"/>
      <c r="L1572"/>
    </row>
    <row r="1573" spans="2:12" s="2" customFormat="1" x14ac:dyDescent="0.25">
      <c r="B1573" s="6"/>
      <c r="C1573" s="7"/>
      <c r="D1573"/>
      <c r="E1573"/>
      <c r="F1573"/>
      <c r="G1573"/>
      <c r="H1573"/>
      <c r="I1573"/>
      <c r="J1573"/>
      <c r="K1573"/>
      <c r="L1573"/>
    </row>
    <row r="1574" spans="2:12" s="2" customFormat="1" x14ac:dyDescent="0.25">
      <c r="B1574" s="6"/>
      <c r="C1574" s="7"/>
      <c r="D1574"/>
      <c r="E1574"/>
      <c r="F1574"/>
      <c r="G1574"/>
      <c r="H1574"/>
      <c r="I1574"/>
      <c r="J1574"/>
      <c r="K1574"/>
      <c r="L1574"/>
    </row>
    <row r="1575" spans="2:12" s="2" customFormat="1" x14ac:dyDescent="0.25">
      <c r="B1575" s="6"/>
      <c r="C1575" s="7"/>
      <c r="D1575"/>
      <c r="E1575"/>
      <c r="F1575"/>
      <c r="G1575"/>
      <c r="H1575"/>
      <c r="I1575"/>
      <c r="J1575"/>
      <c r="K1575"/>
      <c r="L1575"/>
    </row>
    <row r="1576" spans="2:12" s="2" customFormat="1" x14ac:dyDescent="0.25">
      <c r="B1576" s="6"/>
      <c r="C1576" s="7"/>
      <c r="D1576"/>
      <c r="E1576"/>
      <c r="F1576"/>
      <c r="G1576"/>
      <c r="H1576"/>
      <c r="I1576"/>
      <c r="J1576"/>
      <c r="K1576"/>
      <c r="L1576"/>
    </row>
    <row r="1577" spans="2:12" s="2" customFormat="1" x14ac:dyDescent="0.25">
      <c r="B1577" s="6"/>
      <c r="C1577" s="7"/>
      <c r="D1577"/>
      <c r="E1577"/>
      <c r="F1577"/>
      <c r="G1577"/>
      <c r="H1577"/>
      <c r="I1577"/>
      <c r="J1577"/>
      <c r="K1577"/>
      <c r="L1577"/>
    </row>
    <row r="1578" spans="2:12" s="2" customFormat="1" x14ac:dyDescent="0.25">
      <c r="B1578" s="6"/>
      <c r="C1578" s="7"/>
      <c r="D1578"/>
      <c r="E1578"/>
      <c r="F1578"/>
      <c r="G1578"/>
      <c r="H1578"/>
      <c r="I1578"/>
      <c r="J1578"/>
      <c r="K1578"/>
      <c r="L1578"/>
    </row>
    <row r="1579" spans="2:12" s="2" customFormat="1" x14ac:dyDescent="0.25">
      <c r="B1579" s="6"/>
      <c r="C1579" s="7"/>
      <c r="D1579"/>
      <c r="E1579"/>
      <c r="F1579"/>
      <c r="G1579"/>
      <c r="H1579"/>
      <c r="I1579"/>
      <c r="J1579"/>
      <c r="K1579"/>
      <c r="L1579"/>
    </row>
    <row r="1580" spans="2:12" s="2" customFormat="1" x14ac:dyDescent="0.25">
      <c r="B1580" s="6"/>
      <c r="C1580" s="7"/>
      <c r="D1580"/>
      <c r="E1580"/>
      <c r="F1580"/>
      <c r="G1580"/>
      <c r="H1580"/>
      <c r="I1580"/>
      <c r="J1580"/>
      <c r="K1580"/>
      <c r="L1580"/>
    </row>
    <row r="1581" spans="2:12" s="2" customFormat="1" x14ac:dyDescent="0.25">
      <c r="B1581" s="6"/>
      <c r="C1581" s="7"/>
      <c r="D1581"/>
      <c r="E1581"/>
      <c r="F1581"/>
      <c r="G1581"/>
      <c r="H1581"/>
      <c r="I1581"/>
      <c r="J1581"/>
      <c r="K1581"/>
      <c r="L1581"/>
    </row>
    <row r="1582" spans="2:12" s="2" customFormat="1" x14ac:dyDescent="0.25">
      <c r="B1582" s="6"/>
      <c r="C1582" s="7"/>
      <c r="D1582"/>
      <c r="E1582"/>
      <c r="F1582"/>
      <c r="G1582"/>
      <c r="H1582"/>
      <c r="I1582"/>
      <c r="J1582"/>
      <c r="K1582"/>
      <c r="L1582"/>
    </row>
    <row r="1583" spans="2:12" s="2" customFormat="1" x14ac:dyDescent="0.25">
      <c r="B1583" s="6"/>
      <c r="C1583" s="7"/>
      <c r="D1583"/>
      <c r="E1583"/>
      <c r="F1583"/>
      <c r="G1583"/>
      <c r="H1583"/>
      <c r="I1583"/>
      <c r="J1583"/>
      <c r="K1583"/>
      <c r="L1583"/>
    </row>
    <row r="1584" spans="2:12" s="2" customFormat="1" x14ac:dyDescent="0.25">
      <c r="B1584" s="6"/>
      <c r="C1584" s="7"/>
      <c r="D1584"/>
      <c r="E1584"/>
      <c r="F1584"/>
      <c r="G1584"/>
      <c r="H1584"/>
      <c r="I1584"/>
      <c r="J1584"/>
      <c r="K1584"/>
      <c r="L1584"/>
    </row>
    <row r="1585" spans="2:12" s="2" customFormat="1" x14ac:dyDescent="0.25">
      <c r="B1585" s="6"/>
      <c r="C1585" s="7"/>
      <c r="D1585"/>
      <c r="E1585"/>
      <c r="F1585"/>
      <c r="G1585"/>
      <c r="H1585"/>
      <c r="I1585"/>
      <c r="J1585"/>
      <c r="K1585"/>
      <c r="L1585"/>
    </row>
    <row r="1586" spans="2:12" s="2" customFormat="1" x14ac:dyDescent="0.25">
      <c r="B1586" s="6"/>
      <c r="C1586" s="7"/>
      <c r="D1586"/>
      <c r="E1586"/>
      <c r="F1586"/>
      <c r="G1586"/>
      <c r="H1586"/>
      <c r="I1586"/>
      <c r="J1586"/>
      <c r="K1586"/>
      <c r="L1586"/>
    </row>
    <row r="1587" spans="2:12" s="2" customFormat="1" x14ac:dyDescent="0.25">
      <c r="B1587" s="6"/>
      <c r="C1587" s="7"/>
      <c r="D1587"/>
      <c r="E1587"/>
      <c r="F1587"/>
      <c r="G1587"/>
      <c r="H1587"/>
      <c r="I1587"/>
      <c r="J1587"/>
      <c r="K1587"/>
      <c r="L1587"/>
    </row>
    <row r="1588" spans="2:12" s="2" customFormat="1" x14ac:dyDescent="0.25">
      <c r="B1588" s="6"/>
      <c r="C1588" s="7"/>
      <c r="D1588"/>
      <c r="E1588"/>
      <c r="F1588"/>
      <c r="G1588"/>
      <c r="H1588"/>
      <c r="I1588"/>
      <c r="J1588"/>
      <c r="K1588"/>
      <c r="L1588"/>
    </row>
    <row r="1589" spans="2:12" s="2" customFormat="1" x14ac:dyDescent="0.25">
      <c r="B1589" s="6"/>
      <c r="C1589" s="7"/>
      <c r="D1589"/>
      <c r="E1589"/>
      <c r="F1589"/>
      <c r="G1589"/>
      <c r="H1589"/>
      <c r="I1589"/>
      <c r="J1589"/>
      <c r="K1589"/>
      <c r="L1589"/>
    </row>
    <row r="1590" spans="2:12" s="2" customFormat="1" x14ac:dyDescent="0.25">
      <c r="B1590" s="6"/>
      <c r="C1590" s="7"/>
      <c r="D1590"/>
      <c r="E1590"/>
      <c r="F1590"/>
      <c r="G1590"/>
      <c r="H1590"/>
      <c r="I1590"/>
      <c r="J1590"/>
      <c r="K1590"/>
      <c r="L1590"/>
    </row>
    <row r="1591" spans="2:12" s="2" customFormat="1" x14ac:dyDescent="0.25">
      <c r="B1591" s="6"/>
      <c r="C1591" s="7"/>
      <c r="D1591"/>
      <c r="E1591"/>
      <c r="F1591"/>
      <c r="G1591"/>
      <c r="H1591"/>
      <c r="I1591"/>
      <c r="J1591"/>
      <c r="K1591"/>
      <c r="L1591"/>
    </row>
    <row r="1592" spans="2:12" s="2" customFormat="1" x14ac:dyDescent="0.25">
      <c r="B1592" s="6"/>
      <c r="C1592" s="7"/>
      <c r="D1592"/>
      <c r="E1592"/>
      <c r="F1592"/>
      <c r="G1592"/>
      <c r="H1592"/>
      <c r="I1592"/>
      <c r="J1592"/>
      <c r="K1592"/>
      <c r="L1592"/>
    </row>
    <row r="1593" spans="2:12" s="2" customFormat="1" x14ac:dyDescent="0.25">
      <c r="B1593" s="6"/>
      <c r="C1593" s="7"/>
      <c r="D1593"/>
      <c r="E1593"/>
      <c r="F1593"/>
      <c r="G1593"/>
      <c r="H1593"/>
      <c r="I1593"/>
      <c r="J1593"/>
      <c r="K1593"/>
      <c r="L1593"/>
    </row>
    <row r="1594" spans="2:12" s="2" customFormat="1" x14ac:dyDescent="0.25">
      <c r="B1594" s="6"/>
      <c r="C1594" s="7"/>
      <c r="D1594"/>
      <c r="E1594"/>
      <c r="F1594"/>
      <c r="G1594"/>
      <c r="H1594"/>
      <c r="I1594"/>
      <c r="J1594"/>
      <c r="K1594"/>
      <c r="L1594"/>
    </row>
    <row r="1595" spans="2:12" s="2" customFormat="1" x14ac:dyDescent="0.25">
      <c r="B1595" s="6"/>
      <c r="C1595" s="7"/>
      <c r="D1595"/>
      <c r="E1595"/>
      <c r="F1595"/>
      <c r="G1595"/>
      <c r="H1595"/>
      <c r="I1595"/>
      <c r="J1595"/>
      <c r="K1595"/>
      <c r="L1595"/>
    </row>
    <row r="1596" spans="2:12" s="2" customFormat="1" x14ac:dyDescent="0.25">
      <c r="B1596" s="6"/>
      <c r="C1596" s="7"/>
      <c r="D1596"/>
      <c r="E1596"/>
      <c r="F1596"/>
      <c r="G1596"/>
      <c r="H1596"/>
      <c r="I1596"/>
      <c r="J1596"/>
      <c r="K1596"/>
      <c r="L1596"/>
    </row>
    <row r="1597" spans="2:12" s="2" customFormat="1" x14ac:dyDescent="0.25">
      <c r="B1597" s="6"/>
      <c r="C1597" s="7"/>
      <c r="D1597"/>
      <c r="E1597"/>
      <c r="F1597"/>
      <c r="G1597"/>
      <c r="H1597"/>
      <c r="I1597"/>
      <c r="J1597"/>
      <c r="K1597"/>
      <c r="L1597"/>
    </row>
    <row r="1598" spans="2:12" s="2" customFormat="1" x14ac:dyDescent="0.25">
      <c r="B1598" s="6"/>
      <c r="C1598" s="7"/>
      <c r="D1598"/>
      <c r="E1598"/>
      <c r="F1598"/>
      <c r="G1598"/>
      <c r="H1598"/>
      <c r="I1598"/>
      <c r="J1598"/>
      <c r="K1598"/>
      <c r="L1598"/>
    </row>
    <row r="1599" spans="2:12" s="2" customFormat="1" x14ac:dyDescent="0.25">
      <c r="B1599" s="6"/>
      <c r="C1599" s="7"/>
      <c r="D1599"/>
      <c r="E1599"/>
      <c r="F1599"/>
      <c r="G1599"/>
      <c r="H1599"/>
      <c r="I1599"/>
      <c r="J1599"/>
      <c r="K1599"/>
      <c r="L1599"/>
    </row>
    <row r="1600" spans="2:12" s="2" customFormat="1" x14ac:dyDescent="0.25">
      <c r="B1600" s="6"/>
      <c r="C1600" s="7"/>
      <c r="D1600"/>
      <c r="E1600"/>
      <c r="F1600"/>
      <c r="G1600"/>
      <c r="H1600"/>
      <c r="I1600"/>
      <c r="J1600"/>
      <c r="K1600"/>
      <c r="L1600"/>
    </row>
    <row r="1601" spans="2:12" s="2" customFormat="1" x14ac:dyDescent="0.25">
      <c r="B1601" s="6"/>
      <c r="C1601" s="7"/>
      <c r="D1601"/>
      <c r="E1601"/>
      <c r="F1601"/>
      <c r="G1601"/>
      <c r="H1601"/>
      <c r="I1601"/>
      <c r="J1601"/>
      <c r="K1601"/>
      <c r="L1601"/>
    </row>
    <row r="1602" spans="2:12" s="2" customFormat="1" x14ac:dyDescent="0.25">
      <c r="B1602" s="6"/>
      <c r="C1602" s="7"/>
      <c r="D1602"/>
      <c r="E1602"/>
      <c r="F1602"/>
      <c r="G1602"/>
      <c r="H1602"/>
      <c r="I1602"/>
      <c r="J1602"/>
      <c r="K1602"/>
      <c r="L1602"/>
    </row>
    <row r="1603" spans="2:12" s="2" customFormat="1" x14ac:dyDescent="0.25">
      <c r="B1603" s="6"/>
      <c r="C1603" s="7"/>
      <c r="D1603"/>
      <c r="E1603"/>
      <c r="F1603"/>
      <c r="G1603"/>
      <c r="H1603"/>
      <c r="I1603"/>
      <c r="J1603"/>
      <c r="K1603"/>
      <c r="L1603"/>
    </row>
    <row r="1604" spans="2:12" s="2" customFormat="1" x14ac:dyDescent="0.25">
      <c r="B1604" s="6"/>
      <c r="C1604" s="7"/>
      <c r="D1604"/>
      <c r="E1604"/>
      <c r="F1604"/>
      <c r="G1604"/>
      <c r="H1604"/>
      <c r="I1604"/>
      <c r="J1604"/>
      <c r="K1604"/>
      <c r="L1604"/>
    </row>
    <row r="1605" spans="2:12" s="2" customFormat="1" x14ac:dyDescent="0.25">
      <c r="B1605" s="6"/>
      <c r="C1605" s="7"/>
      <c r="D1605"/>
      <c r="E1605"/>
      <c r="F1605"/>
      <c r="G1605"/>
      <c r="H1605"/>
      <c r="I1605"/>
      <c r="J1605"/>
      <c r="K1605"/>
      <c r="L1605"/>
    </row>
    <row r="1606" spans="2:12" s="2" customFormat="1" x14ac:dyDescent="0.25">
      <c r="B1606" s="6"/>
      <c r="C1606" s="7"/>
      <c r="D1606"/>
      <c r="E1606"/>
      <c r="F1606"/>
      <c r="G1606"/>
      <c r="H1606"/>
      <c r="I1606"/>
      <c r="J1606"/>
      <c r="K1606"/>
      <c r="L1606"/>
    </row>
    <row r="1607" spans="2:12" s="2" customFormat="1" x14ac:dyDescent="0.25">
      <c r="B1607" s="6"/>
      <c r="C1607" s="7"/>
      <c r="D1607"/>
      <c r="E1607"/>
      <c r="F1607"/>
      <c r="G1607"/>
      <c r="H1607"/>
      <c r="I1607"/>
      <c r="J1607"/>
      <c r="K1607"/>
      <c r="L1607"/>
    </row>
    <row r="1608" spans="2:12" s="2" customFormat="1" x14ac:dyDescent="0.25">
      <c r="B1608" s="6"/>
      <c r="C1608" s="7"/>
      <c r="D1608"/>
      <c r="E1608"/>
      <c r="F1608"/>
      <c r="G1608"/>
      <c r="H1608"/>
      <c r="I1608"/>
      <c r="J1608"/>
      <c r="K1608"/>
      <c r="L1608"/>
    </row>
    <row r="1609" spans="2:12" s="2" customFormat="1" x14ac:dyDescent="0.25">
      <c r="B1609" s="6"/>
      <c r="C1609" s="7"/>
      <c r="D1609"/>
      <c r="E1609"/>
      <c r="F1609"/>
      <c r="G1609"/>
      <c r="H1609"/>
      <c r="I1609"/>
      <c r="J1609"/>
      <c r="K1609"/>
      <c r="L1609"/>
    </row>
    <row r="1610" spans="2:12" s="2" customFormat="1" x14ac:dyDescent="0.25">
      <c r="B1610" s="6"/>
      <c r="C1610" s="7"/>
      <c r="D1610"/>
      <c r="E1610"/>
      <c r="F1610"/>
      <c r="G1610"/>
      <c r="H1610"/>
      <c r="I1610"/>
      <c r="J1610"/>
      <c r="K1610"/>
      <c r="L1610"/>
    </row>
    <row r="1611" spans="2:12" s="2" customFormat="1" x14ac:dyDescent="0.25">
      <c r="B1611" s="6"/>
      <c r="C1611" s="7"/>
      <c r="D1611"/>
      <c r="E1611"/>
      <c r="F1611"/>
      <c r="G1611"/>
      <c r="H1611"/>
      <c r="I1611"/>
      <c r="J1611"/>
      <c r="K1611"/>
      <c r="L1611"/>
    </row>
    <row r="1612" spans="2:12" s="2" customFormat="1" x14ac:dyDescent="0.25">
      <c r="B1612" s="6"/>
      <c r="C1612" s="7"/>
      <c r="D1612"/>
      <c r="E1612"/>
      <c r="F1612"/>
      <c r="G1612"/>
      <c r="H1612"/>
      <c r="I1612"/>
      <c r="J1612"/>
      <c r="K1612"/>
      <c r="L1612"/>
    </row>
    <row r="1613" spans="2:12" s="2" customFormat="1" x14ac:dyDescent="0.25">
      <c r="B1613" s="6"/>
      <c r="C1613" s="7"/>
      <c r="D1613"/>
      <c r="E1613"/>
      <c r="F1613"/>
      <c r="G1613"/>
      <c r="H1613"/>
      <c r="I1613"/>
      <c r="J1613"/>
      <c r="K1613"/>
      <c r="L1613"/>
    </row>
    <row r="1614" spans="2:12" s="2" customFormat="1" x14ac:dyDescent="0.25">
      <c r="B1614" s="6"/>
      <c r="C1614" s="7"/>
      <c r="D1614"/>
      <c r="E1614"/>
      <c r="F1614"/>
      <c r="G1614"/>
      <c r="H1614"/>
      <c r="I1614"/>
      <c r="J1614"/>
      <c r="K1614"/>
      <c r="L1614"/>
    </row>
    <row r="1615" spans="2:12" s="2" customFormat="1" x14ac:dyDescent="0.25">
      <c r="B1615" s="6"/>
      <c r="C1615" s="7"/>
      <c r="D1615"/>
      <c r="E1615"/>
      <c r="F1615"/>
      <c r="G1615"/>
      <c r="H1615"/>
      <c r="I1615"/>
      <c r="J1615"/>
      <c r="K1615"/>
      <c r="L1615"/>
    </row>
    <row r="1616" spans="2:12" s="2" customFormat="1" x14ac:dyDescent="0.25">
      <c r="B1616" s="6"/>
      <c r="C1616" s="7"/>
      <c r="D1616"/>
      <c r="E1616"/>
      <c r="F1616"/>
      <c r="G1616"/>
      <c r="H1616"/>
      <c r="I1616"/>
      <c r="J1616"/>
      <c r="K1616"/>
      <c r="L1616"/>
    </row>
    <row r="1617" spans="2:12" s="2" customFormat="1" x14ac:dyDescent="0.25">
      <c r="B1617" s="6"/>
      <c r="C1617" s="7"/>
      <c r="D1617"/>
      <c r="E1617"/>
      <c r="F1617"/>
      <c r="G1617"/>
      <c r="H1617"/>
      <c r="I1617"/>
      <c r="J1617"/>
      <c r="K1617"/>
      <c r="L1617"/>
    </row>
    <row r="1618" spans="2:12" s="2" customFormat="1" x14ac:dyDescent="0.25">
      <c r="B1618" s="6"/>
      <c r="C1618" s="7"/>
      <c r="D1618"/>
      <c r="E1618"/>
      <c r="F1618"/>
      <c r="G1618"/>
      <c r="H1618"/>
      <c r="I1618"/>
      <c r="J1618"/>
      <c r="K1618"/>
      <c r="L1618"/>
    </row>
    <row r="1619" spans="2:12" s="2" customFormat="1" x14ac:dyDescent="0.25">
      <c r="B1619" s="6"/>
      <c r="C1619" s="7"/>
      <c r="D1619"/>
      <c r="E1619"/>
      <c r="F1619"/>
      <c r="G1619"/>
      <c r="H1619"/>
      <c r="I1619"/>
      <c r="J1619"/>
      <c r="K1619"/>
      <c r="L1619"/>
    </row>
    <row r="1620" spans="2:12" s="2" customFormat="1" x14ac:dyDescent="0.25">
      <c r="B1620" s="6"/>
      <c r="C1620" s="7"/>
      <c r="D1620"/>
      <c r="E1620"/>
      <c r="F1620"/>
      <c r="G1620"/>
      <c r="H1620"/>
      <c r="I1620"/>
      <c r="J1620"/>
      <c r="K1620"/>
      <c r="L1620"/>
    </row>
    <row r="1621" spans="2:12" s="2" customFormat="1" x14ac:dyDescent="0.25">
      <c r="B1621" s="6"/>
      <c r="C1621" s="7"/>
      <c r="D1621"/>
      <c r="E1621"/>
      <c r="F1621"/>
      <c r="G1621"/>
      <c r="H1621"/>
      <c r="I1621"/>
      <c r="J1621"/>
      <c r="K1621"/>
      <c r="L1621"/>
    </row>
    <row r="1622" spans="2:12" s="2" customFormat="1" x14ac:dyDescent="0.25">
      <c r="B1622" s="6"/>
      <c r="C1622" s="7"/>
      <c r="D1622"/>
      <c r="E1622"/>
      <c r="F1622"/>
      <c r="G1622"/>
      <c r="H1622"/>
      <c r="I1622"/>
      <c r="J1622"/>
      <c r="K1622"/>
      <c r="L1622"/>
    </row>
    <row r="1623" spans="2:12" s="2" customFormat="1" x14ac:dyDescent="0.25">
      <c r="B1623" s="6"/>
      <c r="C1623" s="7"/>
      <c r="D1623"/>
      <c r="E1623"/>
      <c r="F1623"/>
      <c r="G1623"/>
      <c r="H1623"/>
      <c r="I1623"/>
      <c r="J1623"/>
      <c r="K1623"/>
      <c r="L1623"/>
    </row>
    <row r="1624" spans="2:12" s="2" customFormat="1" x14ac:dyDescent="0.25">
      <c r="B1624" s="6"/>
      <c r="C1624" s="7"/>
      <c r="D1624"/>
      <c r="E1624"/>
      <c r="F1624"/>
      <c r="G1624"/>
      <c r="H1624"/>
      <c r="I1624"/>
      <c r="J1624"/>
      <c r="K1624"/>
      <c r="L1624"/>
    </row>
    <row r="1625" spans="2:12" s="2" customFormat="1" x14ac:dyDescent="0.25">
      <c r="B1625" s="6"/>
      <c r="C1625" s="7"/>
      <c r="D1625"/>
      <c r="E1625"/>
      <c r="F1625"/>
      <c r="G1625"/>
      <c r="H1625"/>
      <c r="I1625"/>
      <c r="J1625"/>
      <c r="K1625"/>
      <c r="L1625"/>
    </row>
    <row r="1626" spans="2:12" s="2" customFormat="1" x14ac:dyDescent="0.25">
      <c r="B1626" s="6"/>
      <c r="C1626" s="7"/>
      <c r="D1626"/>
      <c r="E1626"/>
      <c r="F1626"/>
      <c r="G1626"/>
      <c r="H1626"/>
      <c r="I1626"/>
      <c r="J1626"/>
      <c r="K1626"/>
      <c r="L1626"/>
    </row>
    <row r="1627" spans="2:12" s="2" customFormat="1" x14ac:dyDescent="0.25">
      <c r="B1627" s="6"/>
      <c r="C1627" s="7"/>
      <c r="D1627"/>
      <c r="E1627"/>
      <c r="F1627"/>
      <c r="G1627"/>
      <c r="H1627"/>
      <c r="I1627"/>
      <c r="J1627"/>
      <c r="K1627"/>
      <c r="L1627"/>
    </row>
    <row r="1628" spans="2:12" s="2" customFormat="1" x14ac:dyDescent="0.25">
      <c r="B1628" s="6"/>
      <c r="C1628" s="7"/>
      <c r="D1628"/>
      <c r="E1628"/>
      <c r="F1628"/>
      <c r="G1628"/>
      <c r="H1628"/>
      <c r="I1628"/>
      <c r="J1628"/>
      <c r="K1628"/>
      <c r="L1628"/>
    </row>
    <row r="1629" spans="2:12" s="2" customFormat="1" x14ac:dyDescent="0.25">
      <c r="B1629" s="6"/>
      <c r="C1629" s="7"/>
      <c r="D1629"/>
      <c r="E1629"/>
      <c r="F1629"/>
      <c r="G1629"/>
      <c r="H1629"/>
      <c r="I1629"/>
      <c r="J1629"/>
      <c r="K1629"/>
      <c r="L1629"/>
    </row>
    <row r="1630" spans="2:12" s="2" customFormat="1" x14ac:dyDescent="0.25">
      <c r="B1630" s="6"/>
      <c r="C1630" s="7"/>
      <c r="D1630"/>
      <c r="E1630"/>
      <c r="F1630"/>
      <c r="G1630"/>
      <c r="H1630"/>
      <c r="I1630"/>
      <c r="J1630"/>
      <c r="K1630"/>
      <c r="L1630"/>
    </row>
    <row r="1631" spans="2:12" s="2" customFormat="1" x14ac:dyDescent="0.25">
      <c r="B1631" s="6"/>
      <c r="C1631" s="7"/>
      <c r="D1631"/>
      <c r="E1631"/>
      <c r="F1631"/>
      <c r="G1631"/>
      <c r="H1631"/>
      <c r="I1631"/>
      <c r="J1631"/>
      <c r="K1631"/>
      <c r="L1631"/>
    </row>
    <row r="1632" spans="2:12" s="2" customFormat="1" x14ac:dyDescent="0.25">
      <c r="B1632" s="6"/>
      <c r="C1632" s="7"/>
      <c r="D1632"/>
      <c r="E1632"/>
      <c r="F1632"/>
      <c r="G1632"/>
      <c r="H1632"/>
      <c r="I1632"/>
      <c r="J1632"/>
      <c r="K1632"/>
      <c r="L1632"/>
    </row>
    <row r="1633" spans="2:12" s="2" customFormat="1" x14ac:dyDescent="0.25">
      <c r="B1633" s="6"/>
      <c r="C1633" s="7"/>
      <c r="D1633"/>
      <c r="E1633"/>
      <c r="F1633"/>
      <c r="G1633"/>
      <c r="H1633"/>
      <c r="I1633"/>
      <c r="J1633"/>
      <c r="K1633"/>
      <c r="L1633"/>
    </row>
    <row r="1634" spans="2:12" s="2" customFormat="1" x14ac:dyDescent="0.25">
      <c r="B1634" s="6"/>
      <c r="C1634" s="7"/>
      <c r="D1634"/>
      <c r="E1634"/>
      <c r="F1634"/>
      <c r="G1634"/>
      <c r="H1634"/>
      <c r="I1634"/>
      <c r="J1634"/>
      <c r="K1634"/>
      <c r="L1634"/>
    </row>
    <row r="1635" spans="2:12" s="2" customFormat="1" x14ac:dyDescent="0.25">
      <c r="B1635" s="6"/>
      <c r="C1635" s="7"/>
      <c r="D1635"/>
      <c r="E1635"/>
      <c r="F1635"/>
      <c r="G1635"/>
      <c r="H1635"/>
      <c r="I1635"/>
      <c r="J1635"/>
      <c r="K1635"/>
      <c r="L1635"/>
    </row>
    <row r="1636" spans="2:12" s="2" customFormat="1" x14ac:dyDescent="0.25">
      <c r="B1636" s="6"/>
      <c r="C1636" s="7"/>
      <c r="D1636"/>
      <c r="E1636"/>
      <c r="F1636"/>
      <c r="G1636"/>
      <c r="H1636"/>
      <c r="I1636"/>
      <c r="J1636"/>
      <c r="K1636"/>
      <c r="L1636"/>
    </row>
    <row r="1637" spans="2:12" s="2" customFormat="1" x14ac:dyDescent="0.25">
      <c r="B1637" s="6"/>
      <c r="C1637" s="7"/>
      <c r="D1637"/>
      <c r="E1637"/>
      <c r="F1637"/>
      <c r="G1637"/>
      <c r="H1637"/>
      <c r="I1637"/>
      <c r="J1637"/>
      <c r="K1637"/>
      <c r="L1637"/>
    </row>
    <row r="1638" spans="2:12" s="2" customFormat="1" x14ac:dyDescent="0.25">
      <c r="B1638" s="6"/>
      <c r="C1638" s="7"/>
      <c r="D1638"/>
      <c r="E1638"/>
      <c r="F1638"/>
      <c r="G1638"/>
      <c r="H1638"/>
      <c r="I1638"/>
      <c r="J1638"/>
      <c r="K1638"/>
      <c r="L1638"/>
    </row>
    <row r="1639" spans="2:12" s="2" customFormat="1" x14ac:dyDescent="0.25">
      <c r="B1639" s="6"/>
      <c r="C1639" s="7"/>
      <c r="D1639"/>
      <c r="E1639"/>
      <c r="F1639"/>
      <c r="G1639"/>
      <c r="H1639"/>
      <c r="I1639"/>
      <c r="J1639"/>
      <c r="K1639"/>
      <c r="L1639"/>
    </row>
    <row r="1640" spans="2:12" s="2" customFormat="1" x14ac:dyDescent="0.25">
      <c r="B1640" s="6"/>
      <c r="C1640" s="7"/>
      <c r="D1640"/>
      <c r="E1640"/>
      <c r="F1640"/>
      <c r="G1640"/>
      <c r="H1640"/>
      <c r="I1640"/>
      <c r="J1640"/>
      <c r="K1640"/>
      <c r="L1640"/>
    </row>
    <row r="1641" spans="2:12" s="2" customFormat="1" x14ac:dyDescent="0.25">
      <c r="B1641" s="6"/>
      <c r="C1641" s="7"/>
      <c r="D1641"/>
      <c r="E1641"/>
      <c r="F1641"/>
      <c r="G1641"/>
      <c r="H1641"/>
      <c r="I1641"/>
      <c r="J1641"/>
      <c r="K1641"/>
      <c r="L1641"/>
    </row>
    <row r="1642" spans="2:12" s="2" customFormat="1" x14ac:dyDescent="0.25">
      <c r="B1642" s="6"/>
      <c r="C1642" s="7"/>
      <c r="D1642"/>
      <c r="E1642"/>
      <c r="F1642"/>
      <c r="G1642"/>
      <c r="H1642"/>
      <c r="I1642"/>
      <c r="J1642"/>
      <c r="K1642"/>
      <c r="L1642"/>
    </row>
    <row r="1643" spans="2:12" s="2" customFormat="1" x14ac:dyDescent="0.25">
      <c r="B1643" s="6"/>
      <c r="C1643" s="7"/>
      <c r="D1643"/>
      <c r="E1643"/>
      <c r="F1643"/>
      <c r="G1643"/>
      <c r="H1643"/>
      <c r="I1643"/>
      <c r="J1643"/>
      <c r="K1643"/>
      <c r="L1643"/>
    </row>
    <row r="1644" spans="2:12" s="2" customFormat="1" x14ac:dyDescent="0.25">
      <c r="B1644" s="6"/>
      <c r="C1644" s="7"/>
      <c r="D1644"/>
      <c r="E1644"/>
      <c r="F1644"/>
      <c r="G1644"/>
      <c r="H1644"/>
      <c r="I1644"/>
      <c r="J1644"/>
      <c r="K1644"/>
      <c r="L1644"/>
    </row>
    <row r="1645" spans="2:12" s="2" customFormat="1" x14ac:dyDescent="0.25">
      <c r="B1645" s="6"/>
      <c r="C1645" s="7"/>
      <c r="D1645"/>
      <c r="E1645"/>
      <c r="F1645"/>
      <c r="G1645"/>
      <c r="H1645"/>
      <c r="I1645"/>
      <c r="J1645"/>
      <c r="K1645"/>
      <c r="L1645"/>
    </row>
    <row r="1646" spans="2:12" s="2" customFormat="1" x14ac:dyDescent="0.25">
      <c r="B1646" s="6"/>
      <c r="C1646" s="7"/>
      <c r="D1646"/>
      <c r="E1646"/>
      <c r="F1646"/>
      <c r="G1646"/>
      <c r="H1646"/>
      <c r="I1646"/>
      <c r="J1646"/>
      <c r="K1646"/>
      <c r="L1646"/>
    </row>
    <row r="1647" spans="2:12" s="2" customFormat="1" x14ac:dyDescent="0.25">
      <c r="B1647" s="6"/>
      <c r="C1647" s="7"/>
      <c r="D1647"/>
      <c r="E1647"/>
      <c r="F1647"/>
      <c r="G1647"/>
      <c r="H1647"/>
      <c r="I1647"/>
      <c r="J1647"/>
      <c r="K1647"/>
      <c r="L1647"/>
    </row>
    <row r="1648" spans="2:12" s="2" customFormat="1" x14ac:dyDescent="0.25">
      <c r="B1648" s="6"/>
      <c r="C1648" s="7"/>
      <c r="D1648"/>
      <c r="E1648"/>
      <c r="F1648"/>
      <c r="G1648"/>
      <c r="H1648"/>
      <c r="I1648"/>
      <c r="J1648"/>
      <c r="K1648"/>
      <c r="L1648"/>
    </row>
    <row r="1649" spans="2:12" s="2" customFormat="1" x14ac:dyDescent="0.25">
      <c r="B1649" s="6"/>
      <c r="C1649" s="7"/>
      <c r="D1649"/>
      <c r="E1649"/>
      <c r="F1649"/>
      <c r="G1649"/>
      <c r="H1649"/>
      <c r="I1649"/>
      <c r="J1649"/>
      <c r="K1649"/>
      <c r="L1649"/>
    </row>
    <row r="1650" spans="2:12" s="2" customFormat="1" x14ac:dyDescent="0.25">
      <c r="B1650" s="6"/>
      <c r="C1650" s="7"/>
      <c r="D1650"/>
      <c r="E1650"/>
      <c r="F1650"/>
      <c r="G1650"/>
      <c r="H1650"/>
      <c r="I1650"/>
      <c r="J1650"/>
      <c r="K1650"/>
      <c r="L1650"/>
    </row>
    <row r="1651" spans="2:12" s="2" customFormat="1" x14ac:dyDescent="0.25">
      <c r="B1651" s="6"/>
      <c r="C1651" s="7"/>
      <c r="D1651"/>
      <c r="E1651"/>
      <c r="F1651"/>
      <c r="G1651"/>
      <c r="H1651"/>
      <c r="I1651"/>
      <c r="J1651"/>
      <c r="K1651"/>
      <c r="L1651"/>
    </row>
    <row r="1652" spans="2:12" s="2" customFormat="1" x14ac:dyDescent="0.25">
      <c r="B1652" s="6"/>
      <c r="C1652" s="7"/>
      <c r="D1652"/>
      <c r="E1652"/>
      <c r="F1652"/>
      <c r="G1652"/>
      <c r="H1652"/>
      <c r="I1652"/>
      <c r="J1652"/>
      <c r="K1652"/>
      <c r="L1652"/>
    </row>
    <row r="1653" spans="2:12" s="2" customFormat="1" x14ac:dyDescent="0.25">
      <c r="B1653" s="6"/>
      <c r="C1653" s="7"/>
      <c r="D1653"/>
      <c r="E1653"/>
      <c r="F1653"/>
      <c r="G1653"/>
      <c r="H1653"/>
      <c r="I1653"/>
      <c r="J1653"/>
      <c r="K1653"/>
      <c r="L1653"/>
    </row>
    <row r="1654" spans="2:12" s="2" customFormat="1" x14ac:dyDescent="0.25">
      <c r="B1654" s="6"/>
      <c r="C1654" s="7"/>
      <c r="D1654"/>
      <c r="E1654"/>
      <c r="F1654"/>
      <c r="G1654"/>
      <c r="H1654"/>
      <c r="I1654"/>
      <c r="J1654"/>
      <c r="K1654"/>
      <c r="L1654"/>
    </row>
    <row r="1655" spans="2:12" s="2" customFormat="1" x14ac:dyDescent="0.25">
      <c r="B1655" s="6"/>
      <c r="C1655" s="7"/>
      <c r="D1655"/>
      <c r="E1655"/>
      <c r="F1655"/>
      <c r="G1655"/>
      <c r="H1655"/>
      <c r="I1655"/>
      <c r="J1655"/>
      <c r="K1655"/>
      <c r="L1655"/>
    </row>
    <row r="1656" spans="2:12" s="2" customFormat="1" x14ac:dyDescent="0.25">
      <c r="B1656" s="6"/>
      <c r="C1656" s="7"/>
      <c r="D1656"/>
      <c r="E1656"/>
      <c r="F1656"/>
      <c r="G1656"/>
      <c r="H1656"/>
      <c r="I1656"/>
      <c r="J1656"/>
      <c r="K1656"/>
      <c r="L1656"/>
    </row>
    <row r="1657" spans="2:12" s="2" customFormat="1" x14ac:dyDescent="0.25">
      <c r="B1657" s="6"/>
      <c r="C1657" s="7"/>
      <c r="D1657"/>
      <c r="E1657"/>
      <c r="F1657"/>
      <c r="G1657"/>
      <c r="H1657"/>
      <c r="I1657"/>
      <c r="J1657"/>
      <c r="K1657"/>
      <c r="L1657"/>
    </row>
    <row r="1658" spans="2:12" s="2" customFormat="1" x14ac:dyDescent="0.25">
      <c r="B1658" s="6"/>
      <c r="C1658" s="7"/>
      <c r="D1658"/>
      <c r="E1658"/>
      <c r="F1658"/>
      <c r="G1658"/>
      <c r="H1658"/>
      <c r="I1658"/>
      <c r="J1658"/>
      <c r="K1658"/>
      <c r="L1658"/>
    </row>
    <row r="1659" spans="2:12" s="2" customFormat="1" x14ac:dyDescent="0.25">
      <c r="B1659" s="6"/>
      <c r="C1659" s="7"/>
      <c r="D1659"/>
      <c r="E1659"/>
      <c r="F1659"/>
      <c r="G1659"/>
      <c r="H1659"/>
      <c r="I1659"/>
      <c r="J1659"/>
      <c r="K1659"/>
      <c r="L1659"/>
    </row>
    <row r="1660" spans="2:12" s="2" customFormat="1" x14ac:dyDescent="0.25">
      <c r="B1660" s="6"/>
      <c r="C1660" s="7"/>
      <c r="D1660"/>
      <c r="E1660"/>
      <c r="F1660"/>
      <c r="G1660"/>
      <c r="H1660"/>
      <c r="I1660"/>
      <c r="J1660"/>
      <c r="K1660"/>
      <c r="L1660"/>
    </row>
    <row r="1661" spans="2:12" s="2" customFormat="1" x14ac:dyDescent="0.25">
      <c r="B1661" s="6"/>
      <c r="C1661" s="7"/>
      <c r="D1661"/>
      <c r="E1661"/>
      <c r="F1661"/>
      <c r="G1661"/>
      <c r="H1661"/>
      <c r="I1661"/>
      <c r="J1661"/>
      <c r="K1661"/>
      <c r="L1661"/>
    </row>
    <row r="1662" spans="2:12" x14ac:dyDescent="0.25">
      <c r="B1662" s="6"/>
    </row>
    <row r="1663" spans="2:12" x14ac:dyDescent="0.25">
      <c r="B1663" s="6"/>
    </row>
    <row r="1664" spans="2:12" x14ac:dyDescent="0.25">
      <c r="B1664" s="6"/>
    </row>
    <row r="1665" spans="2:12" x14ac:dyDescent="0.25">
      <c r="B1665" s="6"/>
    </row>
    <row r="1666" spans="2:12" x14ac:dyDescent="0.25">
      <c r="B1666" s="6"/>
    </row>
    <row r="1667" spans="2:12" s="2" customFormat="1" x14ac:dyDescent="0.25">
      <c r="B1667" s="6"/>
      <c r="C1667" s="7"/>
      <c r="D1667"/>
      <c r="E1667"/>
      <c r="F1667"/>
      <c r="G1667"/>
      <c r="H1667"/>
      <c r="I1667"/>
      <c r="J1667"/>
      <c r="K1667"/>
      <c r="L1667"/>
    </row>
    <row r="1668" spans="2:12" s="2" customFormat="1" x14ac:dyDescent="0.25">
      <c r="B1668" s="6"/>
      <c r="C1668" s="7"/>
      <c r="D1668"/>
      <c r="E1668"/>
      <c r="F1668"/>
      <c r="G1668"/>
      <c r="H1668"/>
      <c r="I1668"/>
      <c r="J1668"/>
      <c r="K1668"/>
      <c r="L1668"/>
    </row>
    <row r="1669" spans="2:12" s="2" customFormat="1" x14ac:dyDescent="0.25">
      <c r="B1669" s="6"/>
      <c r="C1669" s="7"/>
      <c r="D1669"/>
      <c r="E1669"/>
      <c r="F1669"/>
      <c r="G1669"/>
      <c r="H1669"/>
      <c r="I1669"/>
      <c r="J1669"/>
      <c r="K1669"/>
      <c r="L1669"/>
    </row>
    <row r="1670" spans="2:12" s="2" customFormat="1" x14ac:dyDescent="0.25">
      <c r="B1670" s="6"/>
      <c r="C1670" s="7"/>
      <c r="D1670"/>
      <c r="E1670"/>
      <c r="F1670"/>
      <c r="G1670"/>
      <c r="H1670"/>
      <c r="I1670"/>
      <c r="J1670"/>
      <c r="K1670"/>
      <c r="L1670"/>
    </row>
    <row r="1671" spans="2:12" x14ac:dyDescent="0.25">
      <c r="B1671" s="6"/>
    </row>
    <row r="1672" spans="2:12" x14ac:dyDescent="0.25">
      <c r="B1672" s="6"/>
    </row>
    <row r="1673" spans="2:12" x14ac:dyDescent="0.25">
      <c r="B1673" s="6"/>
    </row>
  </sheetData>
  <mergeCells count="1">
    <mergeCell ref="B1:C3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Information</vt:lpstr>
      <vt:lpstr>LabelSheet</vt:lpstr>
      <vt:lpstr>Datasheet</vt:lpstr>
      <vt:lpstr>Accredited</vt:lpstr>
      <vt:lpstr>Buttons And Code</vt:lpstr>
      <vt:lpstr>ChangeLog</vt:lpstr>
      <vt:lpstr>Information!CalibratorOptions</vt:lpstr>
      <vt:lpstr>Information!Comm</vt:lpstr>
      <vt:lpstr>CUSTID</vt:lpstr>
      <vt:lpstr>Information!DMM</vt:lpstr>
      <vt:lpstr>DMMSelect</vt:lpstr>
      <vt:lpstr>events_off</vt:lpstr>
      <vt:lpstr>Information!IDCUST</vt:lpstr>
      <vt:lpstr>MANUFACTURER</vt:lpstr>
      <vt:lpstr>Accredited!Print_Area</vt:lpstr>
      <vt:lpstr>Datasheet!Print_Area</vt:lpstr>
      <vt:lpstr>LabelSheet!Print_Area</vt:lpstr>
      <vt:lpstr>Accredited!Print_Titles</vt:lpstr>
      <vt:lpstr>Datasheet!Print_Titles</vt:lpstr>
      <vt:lpstr>PROCEDURE</vt:lpstr>
      <vt:lpstr>Information!SerialNumber</vt:lpstr>
      <vt:lpstr>SN</vt:lpstr>
      <vt:lpstr>Information!SNCust</vt:lpstr>
      <vt:lpstr>Information!STDSelect</vt:lpstr>
      <vt:lpstr>Information!WorkOrder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Vetter</dc:creator>
  <cp:keywords>17220C</cp:keywords>
  <cp:lastModifiedBy>Paul Arnold</cp:lastModifiedBy>
  <cp:lastPrinted>2026-01-16T16:00:05Z</cp:lastPrinted>
  <dcterms:created xsi:type="dcterms:W3CDTF">2014-11-06T20:29:54Z</dcterms:created>
  <dcterms:modified xsi:type="dcterms:W3CDTF">2026-03-25T11:09:28Z</dcterms:modified>
</cp:coreProperties>
</file>